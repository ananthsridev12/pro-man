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Campaign Master" sheetId="1" state="visible" r:id="rId1"/>
    <sheet xmlns:r="http://schemas.openxmlformats.org/officeDocument/2006/relationships" name="🎨 Creatives" sheetId="2" state="visible" r:id="rId2"/>
    <sheet xmlns:r="http://schemas.openxmlformats.org/officeDocument/2006/relationships" name="🌐 Landing Pages" sheetId="3" state="visible" r:id="rId3"/>
    <sheet xmlns:r="http://schemas.openxmlformats.org/officeDocument/2006/relationships" name="✍ Content Writing" sheetId="4" state="visible" r:id="rId4"/>
    <sheet xmlns:r="http://schemas.openxmlformats.org/officeDocument/2006/relationships" name="🎁 Lead Magnets" sheetId="5" state="visible" r:id="rId5"/>
    <sheet xmlns:r="http://schemas.openxmlformats.org/officeDocument/2006/relationships" name="📧 Email Sequences" sheetId="6" state="visible" r:id="rId6"/>
    <sheet xmlns:r="http://schemas.openxmlformats.org/officeDocument/2006/relationships" name="📣 Ad Copy" sheetId="7" state="visible" r:id="rId7"/>
    <sheet xmlns:r="http://schemas.openxmlformats.org/officeDocument/2006/relationships" name="🔍 SEO" sheetId="8" state="visible" r:id="rId8"/>
    <sheet xmlns:r="http://schemas.openxmlformats.org/officeDocument/2006/relationships" name="🎤 Webinars &amp; Events" sheetId="9" state="visible" r:id="rId9"/>
    <sheet xmlns:r="http://schemas.openxmlformats.org/officeDocument/2006/relationships" name="📊 Dashboard" sheetId="10" state="visible" r:id="rId10"/>
    <sheet xmlns:r="http://schemas.openxmlformats.org/officeDocument/2006/relationships" name="📖 How To Use" sheetId="11" state="visible" r:id="rId1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3"/>
    </font>
    <font>
      <name val="Arial"/>
      <i val="1"/>
      <color rgb="00AAAAAA"/>
      <sz val="9"/>
    </font>
    <font>
      <name val="Arial"/>
      <b val="1"/>
      <color rgb="00FFFFFF"/>
      <sz val="8"/>
    </font>
    <font>
      <name val="Arial"/>
      <sz val="9"/>
    </font>
    <font>
      <name val="Arial"/>
      <b val="1"/>
      <color rgb="001B4F72"/>
      <sz val="9"/>
    </font>
    <font>
      <name val="Arial"/>
      <b val="1"/>
      <sz val="9"/>
    </font>
    <font>
      <name val="Arial"/>
      <b val="1"/>
      <color rgb="00FFFFFF"/>
      <sz val="14"/>
    </font>
    <font>
      <name val="Arial"/>
      <i val="1"/>
      <color rgb="00888888"/>
      <sz val="9"/>
    </font>
    <font>
      <name val="Arial"/>
      <b val="1"/>
      <color rgb="001B4F72"/>
      <sz val="11"/>
    </font>
    <font>
      <name val="Arial"/>
      <b val="1"/>
      <color rgb="00FFFFFF"/>
      <sz val="9"/>
    </font>
    <font>
      <name val="Arial"/>
      <b val="1"/>
      <color rgb="00FFFFFF"/>
      <sz val="10"/>
    </font>
  </fonts>
  <fills count="15">
    <fill>
      <patternFill/>
    </fill>
    <fill>
      <patternFill patternType="gray125"/>
    </fill>
    <fill>
      <patternFill patternType="solid">
        <fgColor rgb="000B3D2E"/>
      </patternFill>
    </fill>
    <fill>
      <patternFill patternType="solid">
        <fgColor rgb="001A1A2E"/>
      </patternFill>
    </fill>
    <fill>
      <patternFill patternType="solid">
        <fgColor rgb="00F2F4F7"/>
      </patternFill>
    </fill>
    <fill>
      <patternFill patternType="solid">
        <fgColor rgb="00FFFFFF"/>
      </patternFill>
    </fill>
    <fill>
      <patternFill patternType="solid">
        <fgColor rgb="001B4F72"/>
      </patternFill>
    </fill>
    <fill>
      <patternFill patternType="solid">
        <fgColor rgb="001A237E"/>
      </patternFill>
    </fill>
    <fill>
      <patternFill patternType="solid">
        <fgColor rgb="004A148C"/>
      </patternFill>
    </fill>
    <fill>
      <patternFill patternType="solid">
        <fgColor rgb="00BF360C"/>
      </patternFill>
    </fill>
    <fill>
      <patternFill patternType="solid">
        <fgColor rgb="0000695C"/>
      </patternFill>
    </fill>
    <fill>
      <patternFill patternType="solid">
        <fgColor rgb="00E65100"/>
      </patternFill>
    </fill>
    <fill>
      <patternFill patternType="solid">
        <fgColor rgb="001565C0"/>
      </patternFill>
    </fill>
    <fill>
      <patternFill patternType="solid">
        <fgColor rgb="004E342E"/>
      </patternFill>
    </fill>
    <fill>
      <patternFill patternType="solid">
        <fgColor rgb="000D1B2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4" fillId="4" borderId="1" applyAlignment="1" pivotButton="0" quotePrefix="0" xfId="0">
      <alignment horizontal="center" vertical="center"/>
    </xf>
    <xf numFmtId="0" fontId="5" fillId="4" borderId="1" applyAlignment="1" pivotButton="0" quotePrefix="0" xfId="0">
      <alignment horizontal="center" vertical="center"/>
    </xf>
    <xf numFmtId="0" fontId="4" fillId="4" borderId="1" applyAlignment="1" pivotButton="0" quotePrefix="0" xfId="0">
      <alignment vertical="center" wrapText="1"/>
    </xf>
    <xf numFmtId="0" fontId="6" fillId="4" borderId="1" applyAlignment="1" pivotButton="0" quotePrefix="0" xfId="0">
      <alignment horizontal="center" vertical="center"/>
    </xf>
    <xf numFmtId="0" fontId="4" fillId="5" borderId="1" applyAlignment="1" pivotButton="0" quotePrefix="0" xfId="0">
      <alignment horizontal="center" vertical="center"/>
    </xf>
    <xf numFmtId="0" fontId="5" fillId="5" borderId="1" applyAlignment="1" pivotButton="0" quotePrefix="0" xfId="0">
      <alignment horizontal="center" vertical="center"/>
    </xf>
    <xf numFmtId="0" fontId="4" fillId="5" borderId="1" applyAlignment="1" pivotButton="0" quotePrefix="0" xfId="0">
      <alignment vertical="center" wrapText="1"/>
    </xf>
    <xf numFmtId="0" fontId="6" fillId="5" borderId="1" applyAlignment="1" pivotButton="0" quotePrefix="0" xfId="0">
      <alignment horizontal="center" vertical="center"/>
    </xf>
    <xf numFmtId="0" fontId="1" fillId="6" borderId="0" applyAlignment="1" pivotButton="0" quotePrefix="0" xfId="0">
      <alignment horizontal="center" vertical="center"/>
    </xf>
    <xf numFmtId="0" fontId="3" fillId="6" borderId="1" applyAlignment="1" pivotButton="0" quotePrefix="0" xfId="0">
      <alignment horizontal="center" vertical="center" wrapText="1"/>
    </xf>
    <xf numFmtId="0" fontId="1" fillId="7" borderId="0" applyAlignment="1" pivotButton="0" quotePrefix="0" xfId="0">
      <alignment horizontal="center" vertical="center"/>
    </xf>
    <xf numFmtId="0" fontId="3" fillId="7" borderId="1" applyAlignment="1" pivotButton="0" quotePrefix="0" xfId="0">
      <alignment horizontal="center" vertical="center" wrapText="1"/>
    </xf>
    <xf numFmtId="0" fontId="1" fillId="8" borderId="0" applyAlignment="1" pivotButton="0" quotePrefix="0" xfId="0">
      <alignment horizontal="center" vertical="center"/>
    </xf>
    <xf numFmtId="0" fontId="3" fillId="8" borderId="1" applyAlignment="1" pivotButton="0" quotePrefix="0" xfId="0">
      <alignment horizontal="center" vertical="center" wrapText="1"/>
    </xf>
    <xf numFmtId="0" fontId="1" fillId="9" borderId="0" applyAlignment="1" pivotButton="0" quotePrefix="0" xfId="0">
      <alignment horizontal="center" vertical="center"/>
    </xf>
    <xf numFmtId="0" fontId="3" fillId="9" borderId="1" applyAlignment="1" pivotButton="0" quotePrefix="0" xfId="0">
      <alignment horizontal="center" vertical="center" wrapText="1"/>
    </xf>
    <xf numFmtId="0" fontId="1" fillId="10" borderId="0" applyAlignment="1" pivotButton="0" quotePrefix="0" xfId="0">
      <alignment horizontal="center" vertical="center"/>
    </xf>
    <xf numFmtId="0" fontId="3" fillId="10" borderId="1" applyAlignment="1" pivotButton="0" quotePrefix="0" xfId="0">
      <alignment horizontal="center" vertical="center" wrapText="1"/>
    </xf>
    <xf numFmtId="0" fontId="1" fillId="11" borderId="0" applyAlignment="1" pivotButton="0" quotePrefix="0" xfId="0">
      <alignment horizontal="center" vertical="center"/>
    </xf>
    <xf numFmtId="0" fontId="3" fillId="11" borderId="1" applyAlignment="1" pivotButton="0" quotePrefix="0" xfId="0">
      <alignment horizontal="center" vertical="center" wrapText="1"/>
    </xf>
    <xf numFmtId="0" fontId="1" fillId="12" borderId="0" applyAlignment="1" pivotButton="0" quotePrefix="0" xfId="0">
      <alignment horizontal="center" vertical="center"/>
    </xf>
    <xf numFmtId="0" fontId="3" fillId="12" borderId="1" applyAlignment="1" pivotButton="0" quotePrefix="0" xfId="0">
      <alignment horizontal="center" vertical="center" wrapText="1"/>
    </xf>
    <xf numFmtId="0" fontId="1" fillId="13" borderId="0" applyAlignment="1" pivotButton="0" quotePrefix="0" xfId="0">
      <alignment horizontal="center" vertical="center"/>
    </xf>
    <xf numFmtId="0" fontId="3" fillId="13" borderId="1" applyAlignment="1" pivotButton="0" quotePrefix="0" xfId="0">
      <alignment horizontal="center" vertical="center" wrapText="1"/>
    </xf>
    <xf numFmtId="0" fontId="7" fillId="2" borderId="0" applyAlignment="1" pivotButton="0" quotePrefix="0" xfId="0">
      <alignment horizontal="center" vertical="center"/>
    </xf>
    <xf numFmtId="0" fontId="8" fillId="3" borderId="0" applyAlignment="1" pivotButton="0" quotePrefix="0" xfId="0">
      <alignment horizontal="center"/>
    </xf>
    <xf numFmtId="0" fontId="9" fillId="0" borderId="0" pivotButton="0" quotePrefix="0" xfId="0"/>
    <xf numFmtId="0" fontId="4" fillId="4" borderId="1" pivotButton="0" quotePrefix="0" xfId="0"/>
    <xf numFmtId="0" fontId="6" fillId="5" borderId="1" applyAlignment="1" pivotButton="0" quotePrefix="0" xfId="0">
      <alignment horizontal="center"/>
    </xf>
    <xf numFmtId="0" fontId="10" fillId="6" borderId="1" pivotButton="0" quotePrefix="0" xfId="0"/>
    <xf numFmtId="0" fontId="10" fillId="6" borderId="1" applyAlignment="1" pivotButton="0" quotePrefix="0" xfId="0">
      <alignment horizontal="center"/>
    </xf>
    <xf numFmtId="0" fontId="1" fillId="14" borderId="0" applyAlignment="1" pivotButton="0" quotePrefix="0" xfId="0">
      <alignment horizontal="center" vertical="center"/>
    </xf>
    <xf numFmtId="0" fontId="11" fillId="6" borderId="0" applyAlignment="1" pivotButton="0" quotePrefix="0" xfId="0">
      <alignment vertical="center"/>
    </xf>
    <xf numFmtId="0" fontId="4" fillId="4" borderId="0" applyAlignment="1" pivotButton="0" quotePrefix="0" xfId="0">
      <alignment vertical="center" wrapText="1"/>
    </xf>
  </cellXfs>
  <cellStyles count="1">
    <cellStyle name="Normal" xfId="0" builtinId="0" hidden="0"/>
  </cellStyles>
  <dxfs count="3">
    <dxf>
      <font>
        <name val="Arial"/>
        <b val="1"/>
        <color rgb="001E8449"/>
        <sz val="9"/>
      </font>
      <fill>
        <patternFill patternType="solid">
          <fgColor rgb="00D5F5E3"/>
          <bgColor rgb="00D5F5E3"/>
        </patternFill>
      </fill>
    </dxf>
    <dxf>
      <font>
        <name val="Arial"/>
        <b val="1"/>
        <color rgb="00C0392B"/>
        <sz val="9"/>
      </font>
      <fill>
        <patternFill patternType="solid">
          <fgColor rgb="00FADBD8"/>
          <bgColor rgb="00FADBD8"/>
        </patternFill>
      </fill>
    </dxf>
    <dxf>
      <font>
        <name val="Arial"/>
        <b val="1"/>
        <color rgb="00A04000"/>
        <sz val="9"/>
      </font>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3"/>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5" customWidth="1" min="2" max="2"/>
    <col width="30" customWidth="1" min="3" max="3"/>
    <col width="24" customWidth="1" min="4" max="4"/>
    <col width="28" customWidth="1" min="5" max="5"/>
    <col width="26" customWidth="1" min="6" max="6"/>
    <col width="18" customWidth="1" min="7" max="7"/>
    <col width="20" customWidth="1" min="8" max="8"/>
    <col width="15" customWidth="1" min="9" max="9"/>
    <col width="15" customWidth="1" min="10" max="10"/>
    <col width="15" customWidth="1" min="11" max="11"/>
    <col width="13" customWidth="1" min="12" max="12"/>
    <col width="22" customWidth="1" min="13" max="13"/>
    <col width="24" customWidth="1" min="14" max="14"/>
    <col width="26" customWidth="1" min="15" max="15"/>
    <col width="22" customWidth="1" min="16" max="16"/>
    <col width="14" customWidth="1" min="17" max="17"/>
    <col width="36" customWidth="1" min="18" max="18"/>
  </cols>
  <sheetData>
    <row r="1" ht="34" customHeight="1">
      <c r="A1" s="1" t="inlineStr">
        <is>
          <t>SolidPro Engineering — Campaign Master</t>
        </is>
      </c>
    </row>
    <row r="2" ht="16" customHeight="1">
      <c r="A2" s="2" t="inlineStr">
        <is>
          <t>Every asset in all tabs must reference a Campaign ID from this sheet  |  * = Mandatory</t>
        </is>
      </c>
    </row>
    <row r="3" ht="30" customHeight="1">
      <c r="A3" s="3" t="inlineStr">
        <is>
          <t>S.No</t>
        </is>
      </c>
      <c r="B3" s="3" t="inlineStr">
        <is>
          <t>Campaign ID *</t>
        </is>
      </c>
      <c r="C3" s="3" t="inlineStr">
        <is>
          <t>Campaign Name *</t>
        </is>
      </c>
      <c r="D3" s="3" t="inlineStr">
        <is>
          <t>Vertical *</t>
        </is>
      </c>
      <c r="E3" s="3" t="inlineStr">
        <is>
          <t>Campaign Goal</t>
        </is>
      </c>
      <c r="F3" s="3" t="inlineStr">
        <is>
          <t>Target Audience</t>
        </is>
      </c>
      <c r="G3" s="3" t="inlineStr">
        <is>
          <t>Geography</t>
        </is>
      </c>
      <c r="H3" s="3" t="inlineStr">
        <is>
          <t>Campaign Type</t>
        </is>
      </c>
      <c r="I3" s="3" t="inlineStr">
        <is>
          <t>Campaign Start *</t>
        </is>
      </c>
      <c r="J3" s="3" t="inlineStr">
        <is>
          <t>Campaign End *</t>
        </is>
      </c>
      <c r="K3" s="3" t="inlineStr">
        <is>
          <t>Go-Live Date *</t>
        </is>
      </c>
      <c r="L3" s="3" t="inlineStr">
        <is>
          <t>Priority</t>
        </is>
      </c>
      <c r="M3" s="3" t="inlineStr">
        <is>
          <t>Campaign Owner</t>
        </is>
      </c>
      <c r="N3" s="3" t="inlineStr">
        <is>
          <t>Campaign Status</t>
        </is>
      </c>
      <c r="O3" s="3" t="inlineStr">
        <is>
          <t>Approved by Project Head</t>
        </is>
      </c>
      <c r="P3" s="3" t="inlineStr">
        <is>
          <t>Approved by Manager</t>
        </is>
      </c>
      <c r="Q3" s="3" t="inlineStr">
        <is>
          <t>Total Assets</t>
        </is>
      </c>
      <c r="R3" s="3" t="inlineStr">
        <is>
          <t>Notes / Brief</t>
        </is>
      </c>
    </row>
    <row r="4" ht="22" customHeight="1">
      <c r="A4" s="4" t="n">
        <v>1</v>
      </c>
      <c r="B4" s="5">
        <f>IF(C4="","","CAMP-"&amp;TEXT(1,"000"))</f>
        <v/>
      </c>
      <c r="C4" s="6" t="n"/>
      <c r="D4" s="6" t="n"/>
      <c r="E4" s="6" t="n"/>
      <c r="F4" s="6" t="n"/>
      <c r="G4" s="6" t="n"/>
      <c r="H4" s="6" t="n"/>
      <c r="I4" s="6" t="n"/>
      <c r="J4" s="6" t="n"/>
      <c r="K4" s="6" t="n"/>
      <c r="L4" s="6" t="n"/>
      <c r="M4" s="6" t="n"/>
      <c r="N4" s="6" t="n"/>
      <c r="O4" s="6" t="n"/>
      <c r="P4" s="6" t="n"/>
      <c r="Q4" s="7">
        <f>COUNTIFS('🎨 Creatives'!$B$4:$B$53,B4,'🎨 Creatives'!$E$4:$E$53,"&lt;&gt;")+COUNTIFS('🌐 Landing Pages'!$B$4:$B$53,B4,'🌐 Landing Pages'!$E$4:$E$53,"&lt;&gt;")+COUNTIFS('✍ Content Writing'!$B$4:$B$53,B4,'✍ Content Writing'!$E$4:$E$53,"&lt;&gt;")+COUNTIFS('🎁 Lead Magnets'!$B$4:$B$53,B4,'🎁 Lead Magnets'!$E$4:$E$53,"&lt;&gt;")+COUNTIFS('📧 Email Sequences'!$B$4:$B$53,B4,'📧 Email Sequences'!$E$4:$E$53,"&lt;&gt;")+COUNTIFS('📣 Ad Copy'!$B$4:$B$53,B4,'📣 Ad Copy'!$E$4:$E$53,"&lt;&gt;")+COUNTIFS('🔍 SEO'!$B$4:$B$53,B4,'🔍 SEO'!$E$4:$E$53,"&lt;&gt;")+COUNTIFS('🎤 Webinars &amp; Events'!$B$4:$B$53,B4,'🎤 Webinars &amp; Events'!$E$4:$E$53,"&lt;&gt;")</f>
        <v/>
      </c>
      <c r="R4" s="6" t="n"/>
    </row>
    <row r="5" ht="22" customHeight="1">
      <c r="A5" s="8" t="n">
        <v>2</v>
      </c>
      <c r="B5" s="9">
        <f>IF(C5="","","CAMP-"&amp;TEXT(2,"000"))</f>
        <v/>
      </c>
      <c r="C5" s="10" t="n"/>
      <c r="D5" s="10" t="n"/>
      <c r="E5" s="10" t="n"/>
      <c r="F5" s="10" t="n"/>
      <c r="G5" s="10" t="n"/>
      <c r="H5" s="10" t="n"/>
      <c r="I5" s="10" t="n"/>
      <c r="J5" s="10" t="n"/>
      <c r="K5" s="10" t="n"/>
      <c r="L5" s="10" t="n"/>
      <c r="M5" s="10" t="n"/>
      <c r="N5" s="10" t="n"/>
      <c r="O5" s="10" t="n"/>
      <c r="P5" s="10" t="n"/>
      <c r="Q5" s="11">
        <f>COUNTIFS('🎨 Creatives'!$B$4:$B$53,B5,'🎨 Creatives'!$E$4:$E$53,"&lt;&gt;")+COUNTIFS('🌐 Landing Pages'!$B$4:$B$53,B5,'🌐 Landing Pages'!$E$4:$E$53,"&lt;&gt;")+COUNTIFS('✍ Content Writing'!$B$4:$B$53,B5,'✍ Content Writing'!$E$4:$E$53,"&lt;&gt;")+COUNTIFS('🎁 Lead Magnets'!$B$4:$B$53,B5,'🎁 Lead Magnets'!$E$4:$E$53,"&lt;&gt;")+COUNTIFS('📧 Email Sequences'!$B$4:$B$53,B5,'📧 Email Sequences'!$E$4:$E$53,"&lt;&gt;")+COUNTIFS('📣 Ad Copy'!$B$4:$B$53,B5,'📣 Ad Copy'!$E$4:$E$53,"&lt;&gt;")+COUNTIFS('🔍 SEO'!$B$4:$B$53,B5,'🔍 SEO'!$E$4:$E$53,"&lt;&gt;")+COUNTIFS('🎤 Webinars &amp; Events'!$B$4:$B$53,B5,'🎤 Webinars &amp; Events'!$E$4:$E$53,"&lt;&gt;")</f>
        <v/>
      </c>
      <c r="R5" s="10" t="n"/>
    </row>
    <row r="6" ht="22" customHeight="1">
      <c r="A6" s="4" t="n">
        <v>3</v>
      </c>
      <c r="B6" s="5">
        <f>IF(C6="","","CAMP-"&amp;TEXT(3,"000"))</f>
        <v/>
      </c>
      <c r="C6" s="6" t="n"/>
      <c r="D6" s="6" t="n"/>
      <c r="E6" s="6" t="n"/>
      <c r="F6" s="6" t="n"/>
      <c r="G6" s="6" t="n"/>
      <c r="H6" s="6" t="n"/>
      <c r="I6" s="6" t="n"/>
      <c r="J6" s="6" t="n"/>
      <c r="K6" s="6" t="n"/>
      <c r="L6" s="6" t="n"/>
      <c r="M6" s="6" t="n"/>
      <c r="N6" s="6" t="n"/>
      <c r="O6" s="6" t="n"/>
      <c r="P6" s="6" t="n"/>
      <c r="Q6" s="7">
        <f>COUNTIFS('🎨 Creatives'!$B$4:$B$53,B6,'🎨 Creatives'!$E$4:$E$53,"&lt;&gt;")+COUNTIFS('🌐 Landing Pages'!$B$4:$B$53,B6,'🌐 Landing Pages'!$E$4:$E$53,"&lt;&gt;")+COUNTIFS('✍ Content Writing'!$B$4:$B$53,B6,'✍ Content Writing'!$E$4:$E$53,"&lt;&gt;")+COUNTIFS('🎁 Lead Magnets'!$B$4:$B$53,B6,'🎁 Lead Magnets'!$E$4:$E$53,"&lt;&gt;")+COUNTIFS('📧 Email Sequences'!$B$4:$B$53,B6,'📧 Email Sequences'!$E$4:$E$53,"&lt;&gt;")+COUNTIFS('📣 Ad Copy'!$B$4:$B$53,B6,'📣 Ad Copy'!$E$4:$E$53,"&lt;&gt;")+COUNTIFS('🔍 SEO'!$B$4:$B$53,B6,'🔍 SEO'!$E$4:$E$53,"&lt;&gt;")+COUNTIFS('🎤 Webinars &amp; Events'!$B$4:$B$53,B6,'🎤 Webinars &amp; Events'!$E$4:$E$53,"&lt;&gt;")</f>
        <v/>
      </c>
      <c r="R6" s="6" t="n"/>
    </row>
    <row r="7" ht="22" customHeight="1">
      <c r="A7" s="8" t="n">
        <v>4</v>
      </c>
      <c r="B7" s="9">
        <f>IF(C7="","","CAMP-"&amp;TEXT(4,"000"))</f>
        <v/>
      </c>
      <c r="C7" s="10" t="n"/>
      <c r="D7" s="10" t="n"/>
      <c r="E7" s="10" t="n"/>
      <c r="F7" s="10" t="n"/>
      <c r="G7" s="10" t="n"/>
      <c r="H7" s="10" t="n"/>
      <c r="I7" s="10" t="n"/>
      <c r="J7" s="10" t="n"/>
      <c r="K7" s="10" t="n"/>
      <c r="L7" s="10" t="n"/>
      <c r="M7" s="10" t="n"/>
      <c r="N7" s="10" t="n"/>
      <c r="O7" s="10" t="n"/>
      <c r="P7" s="10" t="n"/>
      <c r="Q7" s="11">
        <f>COUNTIFS('🎨 Creatives'!$B$4:$B$53,B7,'🎨 Creatives'!$E$4:$E$53,"&lt;&gt;")+COUNTIFS('🌐 Landing Pages'!$B$4:$B$53,B7,'🌐 Landing Pages'!$E$4:$E$53,"&lt;&gt;")+COUNTIFS('✍ Content Writing'!$B$4:$B$53,B7,'✍ Content Writing'!$E$4:$E$53,"&lt;&gt;")+COUNTIFS('🎁 Lead Magnets'!$B$4:$B$53,B7,'🎁 Lead Magnets'!$E$4:$E$53,"&lt;&gt;")+COUNTIFS('📧 Email Sequences'!$B$4:$B$53,B7,'📧 Email Sequences'!$E$4:$E$53,"&lt;&gt;")+COUNTIFS('📣 Ad Copy'!$B$4:$B$53,B7,'📣 Ad Copy'!$E$4:$E$53,"&lt;&gt;")+COUNTIFS('🔍 SEO'!$B$4:$B$53,B7,'🔍 SEO'!$E$4:$E$53,"&lt;&gt;")+COUNTIFS('🎤 Webinars &amp; Events'!$B$4:$B$53,B7,'🎤 Webinars &amp; Events'!$E$4:$E$53,"&lt;&gt;")</f>
        <v/>
      </c>
      <c r="R7" s="10" t="n"/>
    </row>
    <row r="8" ht="22" customHeight="1">
      <c r="A8" s="4" t="n">
        <v>5</v>
      </c>
      <c r="B8" s="5">
        <f>IF(C8="","","CAMP-"&amp;TEXT(5,"000"))</f>
        <v/>
      </c>
      <c r="C8" s="6" t="n"/>
      <c r="D8" s="6" t="n"/>
      <c r="E8" s="6" t="n"/>
      <c r="F8" s="6" t="n"/>
      <c r="G8" s="6" t="n"/>
      <c r="H8" s="6" t="n"/>
      <c r="I8" s="6" t="n"/>
      <c r="J8" s="6" t="n"/>
      <c r="K8" s="6" t="n"/>
      <c r="L8" s="6" t="n"/>
      <c r="M8" s="6" t="n"/>
      <c r="N8" s="6" t="n"/>
      <c r="O8" s="6" t="n"/>
      <c r="P8" s="6" t="n"/>
      <c r="Q8" s="7">
        <f>COUNTIFS('🎨 Creatives'!$B$4:$B$53,B8,'🎨 Creatives'!$E$4:$E$53,"&lt;&gt;")+COUNTIFS('🌐 Landing Pages'!$B$4:$B$53,B8,'🌐 Landing Pages'!$E$4:$E$53,"&lt;&gt;")+COUNTIFS('✍ Content Writing'!$B$4:$B$53,B8,'✍ Content Writing'!$E$4:$E$53,"&lt;&gt;")+COUNTIFS('🎁 Lead Magnets'!$B$4:$B$53,B8,'🎁 Lead Magnets'!$E$4:$E$53,"&lt;&gt;")+COUNTIFS('📧 Email Sequences'!$B$4:$B$53,B8,'📧 Email Sequences'!$E$4:$E$53,"&lt;&gt;")+COUNTIFS('📣 Ad Copy'!$B$4:$B$53,B8,'📣 Ad Copy'!$E$4:$E$53,"&lt;&gt;")+COUNTIFS('🔍 SEO'!$B$4:$B$53,B8,'🔍 SEO'!$E$4:$E$53,"&lt;&gt;")+COUNTIFS('🎤 Webinars &amp; Events'!$B$4:$B$53,B8,'🎤 Webinars &amp; Events'!$E$4:$E$53,"&lt;&gt;")</f>
        <v/>
      </c>
      <c r="R8" s="6" t="n"/>
    </row>
    <row r="9" ht="22" customHeight="1">
      <c r="A9" s="8" t="n">
        <v>6</v>
      </c>
      <c r="B9" s="9">
        <f>IF(C9="","","CAMP-"&amp;TEXT(6,"000"))</f>
        <v/>
      </c>
      <c r="C9" s="10" t="n"/>
      <c r="D9" s="10" t="n"/>
      <c r="E9" s="10" t="n"/>
      <c r="F9" s="10" t="n"/>
      <c r="G9" s="10" t="n"/>
      <c r="H9" s="10" t="n"/>
      <c r="I9" s="10" t="n"/>
      <c r="J9" s="10" t="n"/>
      <c r="K9" s="10" t="n"/>
      <c r="L9" s="10" t="n"/>
      <c r="M9" s="10" t="n"/>
      <c r="N9" s="10" t="n"/>
      <c r="O9" s="10" t="n"/>
      <c r="P9" s="10" t="n"/>
      <c r="Q9" s="11">
        <f>COUNTIFS('🎨 Creatives'!$B$4:$B$53,B9,'🎨 Creatives'!$E$4:$E$53,"&lt;&gt;")+COUNTIFS('🌐 Landing Pages'!$B$4:$B$53,B9,'🌐 Landing Pages'!$E$4:$E$53,"&lt;&gt;")+COUNTIFS('✍ Content Writing'!$B$4:$B$53,B9,'✍ Content Writing'!$E$4:$E$53,"&lt;&gt;")+COUNTIFS('🎁 Lead Magnets'!$B$4:$B$53,B9,'🎁 Lead Magnets'!$E$4:$E$53,"&lt;&gt;")+COUNTIFS('📧 Email Sequences'!$B$4:$B$53,B9,'📧 Email Sequences'!$E$4:$E$53,"&lt;&gt;")+COUNTIFS('📣 Ad Copy'!$B$4:$B$53,B9,'📣 Ad Copy'!$E$4:$E$53,"&lt;&gt;")+COUNTIFS('🔍 SEO'!$B$4:$B$53,B9,'🔍 SEO'!$E$4:$E$53,"&lt;&gt;")+COUNTIFS('🎤 Webinars &amp; Events'!$B$4:$B$53,B9,'🎤 Webinars &amp; Events'!$E$4:$E$53,"&lt;&gt;")</f>
        <v/>
      </c>
      <c r="R9" s="10" t="n"/>
    </row>
    <row r="10" ht="22" customHeight="1">
      <c r="A10" s="4" t="n">
        <v>7</v>
      </c>
      <c r="B10" s="5">
        <f>IF(C10="","","CAMP-"&amp;TEXT(7,"000"))</f>
        <v/>
      </c>
      <c r="C10" s="6" t="n"/>
      <c r="D10" s="6" t="n"/>
      <c r="E10" s="6" t="n"/>
      <c r="F10" s="6" t="n"/>
      <c r="G10" s="6" t="n"/>
      <c r="H10" s="6" t="n"/>
      <c r="I10" s="6" t="n"/>
      <c r="J10" s="6" t="n"/>
      <c r="K10" s="6" t="n"/>
      <c r="L10" s="6" t="n"/>
      <c r="M10" s="6" t="n"/>
      <c r="N10" s="6" t="n"/>
      <c r="O10" s="6" t="n"/>
      <c r="P10" s="6" t="n"/>
      <c r="Q10" s="7">
        <f>COUNTIFS('🎨 Creatives'!$B$4:$B$53,B10,'🎨 Creatives'!$E$4:$E$53,"&lt;&gt;")+COUNTIFS('🌐 Landing Pages'!$B$4:$B$53,B10,'🌐 Landing Pages'!$E$4:$E$53,"&lt;&gt;")+COUNTIFS('✍ Content Writing'!$B$4:$B$53,B10,'✍ Content Writing'!$E$4:$E$53,"&lt;&gt;")+COUNTIFS('🎁 Lead Magnets'!$B$4:$B$53,B10,'🎁 Lead Magnets'!$E$4:$E$53,"&lt;&gt;")+COUNTIFS('📧 Email Sequences'!$B$4:$B$53,B10,'📧 Email Sequences'!$E$4:$E$53,"&lt;&gt;")+COUNTIFS('📣 Ad Copy'!$B$4:$B$53,B10,'📣 Ad Copy'!$E$4:$E$53,"&lt;&gt;")+COUNTIFS('🔍 SEO'!$B$4:$B$53,B10,'🔍 SEO'!$E$4:$E$53,"&lt;&gt;")+COUNTIFS('🎤 Webinars &amp; Events'!$B$4:$B$53,B10,'🎤 Webinars &amp; Events'!$E$4:$E$53,"&lt;&gt;")</f>
        <v/>
      </c>
      <c r="R10" s="6" t="n"/>
    </row>
    <row r="11" ht="22" customHeight="1">
      <c r="A11" s="8" t="n">
        <v>8</v>
      </c>
      <c r="B11" s="9">
        <f>IF(C11="","","CAMP-"&amp;TEXT(8,"000"))</f>
        <v/>
      </c>
      <c r="C11" s="10" t="n"/>
      <c r="D11" s="10" t="n"/>
      <c r="E11" s="10" t="n"/>
      <c r="F11" s="10" t="n"/>
      <c r="G11" s="10" t="n"/>
      <c r="H11" s="10" t="n"/>
      <c r="I11" s="10" t="n"/>
      <c r="J11" s="10" t="n"/>
      <c r="K11" s="10" t="n"/>
      <c r="L11" s="10" t="n"/>
      <c r="M11" s="10" t="n"/>
      <c r="N11" s="10" t="n"/>
      <c r="O11" s="10" t="n"/>
      <c r="P11" s="10" t="n"/>
      <c r="Q11" s="11">
        <f>COUNTIFS('🎨 Creatives'!$B$4:$B$53,B11,'🎨 Creatives'!$E$4:$E$53,"&lt;&gt;")+COUNTIFS('🌐 Landing Pages'!$B$4:$B$53,B11,'🌐 Landing Pages'!$E$4:$E$53,"&lt;&gt;")+COUNTIFS('✍ Content Writing'!$B$4:$B$53,B11,'✍ Content Writing'!$E$4:$E$53,"&lt;&gt;")+COUNTIFS('🎁 Lead Magnets'!$B$4:$B$53,B11,'🎁 Lead Magnets'!$E$4:$E$53,"&lt;&gt;")+COUNTIFS('📧 Email Sequences'!$B$4:$B$53,B11,'📧 Email Sequences'!$E$4:$E$53,"&lt;&gt;")+COUNTIFS('📣 Ad Copy'!$B$4:$B$53,B11,'📣 Ad Copy'!$E$4:$E$53,"&lt;&gt;")+COUNTIFS('🔍 SEO'!$B$4:$B$53,B11,'🔍 SEO'!$E$4:$E$53,"&lt;&gt;")+COUNTIFS('🎤 Webinars &amp; Events'!$B$4:$B$53,B11,'🎤 Webinars &amp; Events'!$E$4:$E$53,"&lt;&gt;")</f>
        <v/>
      </c>
      <c r="R11" s="10" t="n"/>
    </row>
    <row r="12" ht="22" customHeight="1">
      <c r="A12" s="4" t="n">
        <v>9</v>
      </c>
      <c r="B12" s="5">
        <f>IF(C12="","","CAMP-"&amp;TEXT(9,"000"))</f>
        <v/>
      </c>
      <c r="C12" s="6" t="n"/>
      <c r="D12" s="6" t="n"/>
      <c r="E12" s="6" t="n"/>
      <c r="F12" s="6" t="n"/>
      <c r="G12" s="6" t="n"/>
      <c r="H12" s="6" t="n"/>
      <c r="I12" s="6" t="n"/>
      <c r="J12" s="6" t="n"/>
      <c r="K12" s="6" t="n"/>
      <c r="L12" s="6" t="n"/>
      <c r="M12" s="6" t="n"/>
      <c r="N12" s="6" t="n"/>
      <c r="O12" s="6" t="n"/>
      <c r="P12" s="6" t="n"/>
      <c r="Q12" s="7">
        <f>COUNTIFS('🎨 Creatives'!$B$4:$B$53,B12,'🎨 Creatives'!$E$4:$E$53,"&lt;&gt;")+COUNTIFS('🌐 Landing Pages'!$B$4:$B$53,B12,'🌐 Landing Pages'!$E$4:$E$53,"&lt;&gt;")+COUNTIFS('✍ Content Writing'!$B$4:$B$53,B12,'✍ Content Writing'!$E$4:$E$53,"&lt;&gt;")+COUNTIFS('🎁 Lead Magnets'!$B$4:$B$53,B12,'🎁 Lead Magnets'!$E$4:$E$53,"&lt;&gt;")+COUNTIFS('📧 Email Sequences'!$B$4:$B$53,B12,'📧 Email Sequences'!$E$4:$E$53,"&lt;&gt;")+COUNTIFS('📣 Ad Copy'!$B$4:$B$53,B12,'📣 Ad Copy'!$E$4:$E$53,"&lt;&gt;")+COUNTIFS('🔍 SEO'!$B$4:$B$53,B12,'🔍 SEO'!$E$4:$E$53,"&lt;&gt;")+COUNTIFS('🎤 Webinars &amp; Events'!$B$4:$B$53,B12,'🎤 Webinars &amp; Events'!$E$4:$E$53,"&lt;&gt;")</f>
        <v/>
      </c>
      <c r="R12" s="6" t="n"/>
    </row>
    <row r="13" ht="22" customHeight="1">
      <c r="A13" s="8" t="n">
        <v>10</v>
      </c>
      <c r="B13" s="9">
        <f>IF(C13="","","CAMP-"&amp;TEXT(10,"000"))</f>
        <v/>
      </c>
      <c r="C13" s="10" t="n"/>
      <c r="D13" s="10" t="n"/>
      <c r="E13" s="10" t="n"/>
      <c r="F13" s="10" t="n"/>
      <c r="G13" s="10" t="n"/>
      <c r="H13" s="10" t="n"/>
      <c r="I13" s="10" t="n"/>
      <c r="J13" s="10" t="n"/>
      <c r="K13" s="10" t="n"/>
      <c r="L13" s="10" t="n"/>
      <c r="M13" s="10" t="n"/>
      <c r="N13" s="10" t="n"/>
      <c r="O13" s="10" t="n"/>
      <c r="P13" s="10" t="n"/>
      <c r="Q13" s="11">
        <f>COUNTIFS('🎨 Creatives'!$B$4:$B$53,B13,'🎨 Creatives'!$E$4:$E$53,"&lt;&gt;")+COUNTIFS('🌐 Landing Pages'!$B$4:$B$53,B13,'🌐 Landing Pages'!$E$4:$E$53,"&lt;&gt;")+COUNTIFS('✍ Content Writing'!$B$4:$B$53,B13,'✍ Content Writing'!$E$4:$E$53,"&lt;&gt;")+COUNTIFS('🎁 Lead Magnets'!$B$4:$B$53,B13,'🎁 Lead Magnets'!$E$4:$E$53,"&lt;&gt;")+COUNTIFS('📧 Email Sequences'!$B$4:$B$53,B13,'📧 Email Sequences'!$E$4:$E$53,"&lt;&gt;")+COUNTIFS('📣 Ad Copy'!$B$4:$B$53,B13,'📣 Ad Copy'!$E$4:$E$53,"&lt;&gt;")+COUNTIFS('🔍 SEO'!$B$4:$B$53,B13,'🔍 SEO'!$E$4:$E$53,"&lt;&gt;")+COUNTIFS('🎤 Webinars &amp; Events'!$B$4:$B$53,B13,'🎤 Webinars &amp; Events'!$E$4:$E$53,"&lt;&gt;")</f>
        <v/>
      </c>
      <c r="R13" s="10" t="n"/>
    </row>
    <row r="14" ht="22" customHeight="1">
      <c r="A14" s="4" t="n">
        <v>11</v>
      </c>
      <c r="B14" s="5">
        <f>IF(C14="","","CAMP-"&amp;TEXT(11,"000"))</f>
        <v/>
      </c>
      <c r="C14" s="6" t="n"/>
      <c r="D14" s="6" t="n"/>
      <c r="E14" s="6" t="n"/>
      <c r="F14" s="6" t="n"/>
      <c r="G14" s="6" t="n"/>
      <c r="H14" s="6" t="n"/>
      <c r="I14" s="6" t="n"/>
      <c r="J14" s="6" t="n"/>
      <c r="K14" s="6" t="n"/>
      <c r="L14" s="6" t="n"/>
      <c r="M14" s="6" t="n"/>
      <c r="N14" s="6" t="n"/>
      <c r="O14" s="6" t="n"/>
      <c r="P14" s="6" t="n"/>
      <c r="Q14" s="7">
        <f>COUNTIFS('🎨 Creatives'!$B$4:$B$53,B14,'🎨 Creatives'!$E$4:$E$53,"&lt;&gt;")+COUNTIFS('🌐 Landing Pages'!$B$4:$B$53,B14,'🌐 Landing Pages'!$E$4:$E$53,"&lt;&gt;")+COUNTIFS('✍ Content Writing'!$B$4:$B$53,B14,'✍ Content Writing'!$E$4:$E$53,"&lt;&gt;")+COUNTIFS('🎁 Lead Magnets'!$B$4:$B$53,B14,'🎁 Lead Magnets'!$E$4:$E$53,"&lt;&gt;")+COUNTIFS('📧 Email Sequences'!$B$4:$B$53,B14,'📧 Email Sequences'!$E$4:$E$53,"&lt;&gt;")+COUNTIFS('📣 Ad Copy'!$B$4:$B$53,B14,'📣 Ad Copy'!$E$4:$E$53,"&lt;&gt;")+COUNTIFS('🔍 SEO'!$B$4:$B$53,B14,'🔍 SEO'!$E$4:$E$53,"&lt;&gt;")+COUNTIFS('🎤 Webinars &amp; Events'!$B$4:$B$53,B14,'🎤 Webinars &amp; Events'!$E$4:$E$53,"&lt;&gt;")</f>
        <v/>
      </c>
      <c r="R14" s="6" t="n"/>
    </row>
    <row r="15" ht="22" customHeight="1">
      <c r="A15" s="8" t="n">
        <v>12</v>
      </c>
      <c r="B15" s="9">
        <f>IF(C15="","","CAMP-"&amp;TEXT(12,"000"))</f>
        <v/>
      </c>
      <c r="C15" s="10" t="n"/>
      <c r="D15" s="10" t="n"/>
      <c r="E15" s="10" t="n"/>
      <c r="F15" s="10" t="n"/>
      <c r="G15" s="10" t="n"/>
      <c r="H15" s="10" t="n"/>
      <c r="I15" s="10" t="n"/>
      <c r="J15" s="10" t="n"/>
      <c r="K15" s="10" t="n"/>
      <c r="L15" s="10" t="n"/>
      <c r="M15" s="10" t="n"/>
      <c r="N15" s="10" t="n"/>
      <c r="O15" s="10" t="n"/>
      <c r="P15" s="10" t="n"/>
      <c r="Q15" s="11">
        <f>COUNTIFS('🎨 Creatives'!$B$4:$B$53,B15,'🎨 Creatives'!$E$4:$E$53,"&lt;&gt;")+COUNTIFS('🌐 Landing Pages'!$B$4:$B$53,B15,'🌐 Landing Pages'!$E$4:$E$53,"&lt;&gt;")+COUNTIFS('✍ Content Writing'!$B$4:$B$53,B15,'✍ Content Writing'!$E$4:$E$53,"&lt;&gt;")+COUNTIFS('🎁 Lead Magnets'!$B$4:$B$53,B15,'🎁 Lead Magnets'!$E$4:$E$53,"&lt;&gt;")+COUNTIFS('📧 Email Sequences'!$B$4:$B$53,B15,'📧 Email Sequences'!$E$4:$E$53,"&lt;&gt;")+COUNTIFS('📣 Ad Copy'!$B$4:$B$53,B15,'📣 Ad Copy'!$E$4:$E$53,"&lt;&gt;")+COUNTIFS('🔍 SEO'!$B$4:$B$53,B15,'🔍 SEO'!$E$4:$E$53,"&lt;&gt;")+COUNTIFS('🎤 Webinars &amp; Events'!$B$4:$B$53,B15,'🎤 Webinars &amp; Events'!$E$4:$E$53,"&lt;&gt;")</f>
        <v/>
      </c>
      <c r="R15" s="10" t="n"/>
    </row>
    <row r="16" ht="22" customHeight="1">
      <c r="A16" s="4" t="n">
        <v>13</v>
      </c>
      <c r="B16" s="5">
        <f>IF(C16="","","CAMP-"&amp;TEXT(13,"000"))</f>
        <v/>
      </c>
      <c r="C16" s="6" t="n"/>
      <c r="D16" s="6" t="n"/>
      <c r="E16" s="6" t="n"/>
      <c r="F16" s="6" t="n"/>
      <c r="G16" s="6" t="n"/>
      <c r="H16" s="6" t="n"/>
      <c r="I16" s="6" t="n"/>
      <c r="J16" s="6" t="n"/>
      <c r="K16" s="6" t="n"/>
      <c r="L16" s="6" t="n"/>
      <c r="M16" s="6" t="n"/>
      <c r="N16" s="6" t="n"/>
      <c r="O16" s="6" t="n"/>
      <c r="P16" s="6" t="n"/>
      <c r="Q16" s="7">
        <f>COUNTIFS('🎨 Creatives'!$B$4:$B$53,B16,'🎨 Creatives'!$E$4:$E$53,"&lt;&gt;")+COUNTIFS('🌐 Landing Pages'!$B$4:$B$53,B16,'🌐 Landing Pages'!$E$4:$E$53,"&lt;&gt;")+COUNTIFS('✍ Content Writing'!$B$4:$B$53,B16,'✍ Content Writing'!$E$4:$E$53,"&lt;&gt;")+COUNTIFS('🎁 Lead Magnets'!$B$4:$B$53,B16,'🎁 Lead Magnets'!$E$4:$E$53,"&lt;&gt;")+COUNTIFS('📧 Email Sequences'!$B$4:$B$53,B16,'📧 Email Sequences'!$E$4:$E$53,"&lt;&gt;")+COUNTIFS('📣 Ad Copy'!$B$4:$B$53,B16,'📣 Ad Copy'!$E$4:$E$53,"&lt;&gt;")+COUNTIFS('🔍 SEO'!$B$4:$B$53,B16,'🔍 SEO'!$E$4:$E$53,"&lt;&gt;")+COUNTIFS('🎤 Webinars &amp; Events'!$B$4:$B$53,B16,'🎤 Webinars &amp; Events'!$E$4:$E$53,"&lt;&gt;")</f>
        <v/>
      </c>
      <c r="R16" s="6" t="n"/>
    </row>
    <row r="17" ht="22" customHeight="1">
      <c r="A17" s="8" t="n">
        <v>14</v>
      </c>
      <c r="B17" s="9">
        <f>IF(C17="","","CAMP-"&amp;TEXT(14,"000"))</f>
        <v/>
      </c>
      <c r="C17" s="10" t="n"/>
      <c r="D17" s="10" t="n"/>
      <c r="E17" s="10" t="n"/>
      <c r="F17" s="10" t="n"/>
      <c r="G17" s="10" t="n"/>
      <c r="H17" s="10" t="n"/>
      <c r="I17" s="10" t="n"/>
      <c r="J17" s="10" t="n"/>
      <c r="K17" s="10" t="n"/>
      <c r="L17" s="10" t="n"/>
      <c r="M17" s="10" t="n"/>
      <c r="N17" s="10" t="n"/>
      <c r="O17" s="10" t="n"/>
      <c r="P17" s="10" t="n"/>
      <c r="Q17" s="11">
        <f>COUNTIFS('🎨 Creatives'!$B$4:$B$53,B17,'🎨 Creatives'!$E$4:$E$53,"&lt;&gt;")+COUNTIFS('🌐 Landing Pages'!$B$4:$B$53,B17,'🌐 Landing Pages'!$E$4:$E$53,"&lt;&gt;")+COUNTIFS('✍ Content Writing'!$B$4:$B$53,B17,'✍ Content Writing'!$E$4:$E$53,"&lt;&gt;")+COUNTIFS('🎁 Lead Magnets'!$B$4:$B$53,B17,'🎁 Lead Magnets'!$E$4:$E$53,"&lt;&gt;")+COUNTIFS('📧 Email Sequences'!$B$4:$B$53,B17,'📧 Email Sequences'!$E$4:$E$53,"&lt;&gt;")+COUNTIFS('📣 Ad Copy'!$B$4:$B$53,B17,'📣 Ad Copy'!$E$4:$E$53,"&lt;&gt;")+COUNTIFS('🔍 SEO'!$B$4:$B$53,B17,'🔍 SEO'!$E$4:$E$53,"&lt;&gt;")+COUNTIFS('🎤 Webinars &amp; Events'!$B$4:$B$53,B17,'🎤 Webinars &amp; Events'!$E$4:$E$53,"&lt;&gt;")</f>
        <v/>
      </c>
      <c r="R17" s="10" t="n"/>
    </row>
    <row r="18" ht="22" customHeight="1">
      <c r="A18" s="4" t="n">
        <v>15</v>
      </c>
      <c r="B18" s="5">
        <f>IF(C18="","","CAMP-"&amp;TEXT(15,"000"))</f>
        <v/>
      </c>
      <c r="C18" s="6" t="n"/>
      <c r="D18" s="6" t="n"/>
      <c r="E18" s="6" t="n"/>
      <c r="F18" s="6" t="n"/>
      <c r="G18" s="6" t="n"/>
      <c r="H18" s="6" t="n"/>
      <c r="I18" s="6" t="n"/>
      <c r="J18" s="6" t="n"/>
      <c r="K18" s="6" t="n"/>
      <c r="L18" s="6" t="n"/>
      <c r="M18" s="6" t="n"/>
      <c r="N18" s="6" t="n"/>
      <c r="O18" s="6" t="n"/>
      <c r="P18" s="6" t="n"/>
      <c r="Q18" s="7">
        <f>COUNTIFS('🎨 Creatives'!$B$4:$B$53,B18,'🎨 Creatives'!$E$4:$E$53,"&lt;&gt;")+COUNTIFS('🌐 Landing Pages'!$B$4:$B$53,B18,'🌐 Landing Pages'!$E$4:$E$53,"&lt;&gt;")+COUNTIFS('✍ Content Writing'!$B$4:$B$53,B18,'✍ Content Writing'!$E$4:$E$53,"&lt;&gt;")+COUNTIFS('🎁 Lead Magnets'!$B$4:$B$53,B18,'🎁 Lead Magnets'!$E$4:$E$53,"&lt;&gt;")+COUNTIFS('📧 Email Sequences'!$B$4:$B$53,B18,'📧 Email Sequences'!$E$4:$E$53,"&lt;&gt;")+COUNTIFS('📣 Ad Copy'!$B$4:$B$53,B18,'📣 Ad Copy'!$E$4:$E$53,"&lt;&gt;")+COUNTIFS('🔍 SEO'!$B$4:$B$53,B18,'🔍 SEO'!$E$4:$E$53,"&lt;&gt;")+COUNTIFS('🎤 Webinars &amp; Events'!$B$4:$B$53,B18,'🎤 Webinars &amp; Events'!$E$4:$E$53,"&lt;&gt;")</f>
        <v/>
      </c>
      <c r="R18" s="6" t="n"/>
    </row>
    <row r="19" ht="22" customHeight="1">
      <c r="A19" s="8" t="n">
        <v>16</v>
      </c>
      <c r="B19" s="9">
        <f>IF(C19="","","CAMP-"&amp;TEXT(16,"000"))</f>
        <v/>
      </c>
      <c r="C19" s="10" t="n"/>
      <c r="D19" s="10" t="n"/>
      <c r="E19" s="10" t="n"/>
      <c r="F19" s="10" t="n"/>
      <c r="G19" s="10" t="n"/>
      <c r="H19" s="10" t="n"/>
      <c r="I19" s="10" t="n"/>
      <c r="J19" s="10" t="n"/>
      <c r="K19" s="10" t="n"/>
      <c r="L19" s="10" t="n"/>
      <c r="M19" s="10" t="n"/>
      <c r="N19" s="10" t="n"/>
      <c r="O19" s="10" t="n"/>
      <c r="P19" s="10" t="n"/>
      <c r="Q19" s="11">
        <f>COUNTIFS('🎨 Creatives'!$B$4:$B$53,B19,'🎨 Creatives'!$E$4:$E$53,"&lt;&gt;")+COUNTIFS('🌐 Landing Pages'!$B$4:$B$53,B19,'🌐 Landing Pages'!$E$4:$E$53,"&lt;&gt;")+COUNTIFS('✍ Content Writing'!$B$4:$B$53,B19,'✍ Content Writing'!$E$4:$E$53,"&lt;&gt;")+COUNTIFS('🎁 Lead Magnets'!$B$4:$B$53,B19,'🎁 Lead Magnets'!$E$4:$E$53,"&lt;&gt;")+COUNTIFS('📧 Email Sequences'!$B$4:$B$53,B19,'📧 Email Sequences'!$E$4:$E$53,"&lt;&gt;")+COUNTIFS('📣 Ad Copy'!$B$4:$B$53,B19,'📣 Ad Copy'!$E$4:$E$53,"&lt;&gt;")+COUNTIFS('🔍 SEO'!$B$4:$B$53,B19,'🔍 SEO'!$E$4:$E$53,"&lt;&gt;")+COUNTIFS('🎤 Webinars &amp; Events'!$B$4:$B$53,B19,'🎤 Webinars &amp; Events'!$E$4:$E$53,"&lt;&gt;")</f>
        <v/>
      </c>
      <c r="R19" s="10" t="n"/>
    </row>
    <row r="20" ht="22" customHeight="1">
      <c r="A20" s="4" t="n">
        <v>17</v>
      </c>
      <c r="B20" s="5">
        <f>IF(C20="","","CAMP-"&amp;TEXT(17,"000"))</f>
        <v/>
      </c>
      <c r="C20" s="6" t="n"/>
      <c r="D20" s="6" t="n"/>
      <c r="E20" s="6" t="n"/>
      <c r="F20" s="6" t="n"/>
      <c r="G20" s="6" t="n"/>
      <c r="H20" s="6" t="n"/>
      <c r="I20" s="6" t="n"/>
      <c r="J20" s="6" t="n"/>
      <c r="K20" s="6" t="n"/>
      <c r="L20" s="6" t="n"/>
      <c r="M20" s="6" t="n"/>
      <c r="N20" s="6" t="n"/>
      <c r="O20" s="6" t="n"/>
      <c r="P20" s="6" t="n"/>
      <c r="Q20" s="7">
        <f>COUNTIFS('🎨 Creatives'!$B$4:$B$53,B20,'🎨 Creatives'!$E$4:$E$53,"&lt;&gt;")+COUNTIFS('🌐 Landing Pages'!$B$4:$B$53,B20,'🌐 Landing Pages'!$E$4:$E$53,"&lt;&gt;")+COUNTIFS('✍ Content Writing'!$B$4:$B$53,B20,'✍ Content Writing'!$E$4:$E$53,"&lt;&gt;")+COUNTIFS('🎁 Lead Magnets'!$B$4:$B$53,B20,'🎁 Lead Magnets'!$E$4:$E$53,"&lt;&gt;")+COUNTIFS('📧 Email Sequences'!$B$4:$B$53,B20,'📧 Email Sequences'!$E$4:$E$53,"&lt;&gt;")+COUNTIFS('📣 Ad Copy'!$B$4:$B$53,B20,'📣 Ad Copy'!$E$4:$E$53,"&lt;&gt;")+COUNTIFS('🔍 SEO'!$B$4:$B$53,B20,'🔍 SEO'!$E$4:$E$53,"&lt;&gt;")+COUNTIFS('🎤 Webinars &amp; Events'!$B$4:$B$53,B20,'🎤 Webinars &amp; Events'!$E$4:$E$53,"&lt;&gt;")</f>
        <v/>
      </c>
      <c r="R20" s="6" t="n"/>
    </row>
    <row r="21" ht="22" customHeight="1">
      <c r="A21" s="8" t="n">
        <v>18</v>
      </c>
      <c r="B21" s="9">
        <f>IF(C21="","","CAMP-"&amp;TEXT(18,"000"))</f>
        <v/>
      </c>
      <c r="C21" s="10" t="n"/>
      <c r="D21" s="10" t="n"/>
      <c r="E21" s="10" t="n"/>
      <c r="F21" s="10" t="n"/>
      <c r="G21" s="10" t="n"/>
      <c r="H21" s="10" t="n"/>
      <c r="I21" s="10" t="n"/>
      <c r="J21" s="10" t="n"/>
      <c r="K21" s="10" t="n"/>
      <c r="L21" s="10" t="n"/>
      <c r="M21" s="10" t="n"/>
      <c r="N21" s="10" t="n"/>
      <c r="O21" s="10" t="n"/>
      <c r="P21" s="10" t="n"/>
      <c r="Q21" s="11">
        <f>COUNTIFS('🎨 Creatives'!$B$4:$B$53,B21,'🎨 Creatives'!$E$4:$E$53,"&lt;&gt;")+COUNTIFS('🌐 Landing Pages'!$B$4:$B$53,B21,'🌐 Landing Pages'!$E$4:$E$53,"&lt;&gt;")+COUNTIFS('✍ Content Writing'!$B$4:$B$53,B21,'✍ Content Writing'!$E$4:$E$53,"&lt;&gt;")+COUNTIFS('🎁 Lead Magnets'!$B$4:$B$53,B21,'🎁 Lead Magnets'!$E$4:$E$53,"&lt;&gt;")+COUNTIFS('📧 Email Sequences'!$B$4:$B$53,B21,'📧 Email Sequences'!$E$4:$E$53,"&lt;&gt;")+COUNTIFS('📣 Ad Copy'!$B$4:$B$53,B21,'📣 Ad Copy'!$E$4:$E$53,"&lt;&gt;")+COUNTIFS('🔍 SEO'!$B$4:$B$53,B21,'🔍 SEO'!$E$4:$E$53,"&lt;&gt;")+COUNTIFS('🎤 Webinars &amp; Events'!$B$4:$B$53,B21,'🎤 Webinars &amp; Events'!$E$4:$E$53,"&lt;&gt;")</f>
        <v/>
      </c>
      <c r="R21" s="10" t="n"/>
    </row>
    <row r="22" ht="22" customHeight="1">
      <c r="A22" s="4" t="n">
        <v>19</v>
      </c>
      <c r="B22" s="5">
        <f>IF(C22="","","CAMP-"&amp;TEXT(19,"000"))</f>
        <v/>
      </c>
      <c r="C22" s="6" t="n"/>
      <c r="D22" s="6" t="n"/>
      <c r="E22" s="6" t="n"/>
      <c r="F22" s="6" t="n"/>
      <c r="G22" s="6" t="n"/>
      <c r="H22" s="6" t="n"/>
      <c r="I22" s="6" t="n"/>
      <c r="J22" s="6" t="n"/>
      <c r="K22" s="6" t="n"/>
      <c r="L22" s="6" t="n"/>
      <c r="M22" s="6" t="n"/>
      <c r="N22" s="6" t="n"/>
      <c r="O22" s="6" t="n"/>
      <c r="P22" s="6" t="n"/>
      <c r="Q22" s="7">
        <f>COUNTIFS('🎨 Creatives'!$B$4:$B$53,B22,'🎨 Creatives'!$E$4:$E$53,"&lt;&gt;")+COUNTIFS('🌐 Landing Pages'!$B$4:$B$53,B22,'🌐 Landing Pages'!$E$4:$E$53,"&lt;&gt;")+COUNTIFS('✍ Content Writing'!$B$4:$B$53,B22,'✍ Content Writing'!$E$4:$E$53,"&lt;&gt;")+COUNTIFS('🎁 Lead Magnets'!$B$4:$B$53,B22,'🎁 Lead Magnets'!$E$4:$E$53,"&lt;&gt;")+COUNTIFS('📧 Email Sequences'!$B$4:$B$53,B22,'📧 Email Sequences'!$E$4:$E$53,"&lt;&gt;")+COUNTIFS('📣 Ad Copy'!$B$4:$B$53,B22,'📣 Ad Copy'!$E$4:$E$53,"&lt;&gt;")+COUNTIFS('🔍 SEO'!$B$4:$B$53,B22,'🔍 SEO'!$E$4:$E$53,"&lt;&gt;")+COUNTIFS('🎤 Webinars &amp; Events'!$B$4:$B$53,B22,'🎤 Webinars &amp; Events'!$E$4:$E$53,"&lt;&gt;")</f>
        <v/>
      </c>
      <c r="R22" s="6" t="n"/>
    </row>
    <row r="23" ht="22" customHeight="1">
      <c r="A23" s="8" t="n">
        <v>20</v>
      </c>
      <c r="B23" s="9">
        <f>IF(C23="","","CAMP-"&amp;TEXT(20,"000"))</f>
        <v/>
      </c>
      <c r="C23" s="10" t="n"/>
      <c r="D23" s="10" t="n"/>
      <c r="E23" s="10" t="n"/>
      <c r="F23" s="10" t="n"/>
      <c r="G23" s="10" t="n"/>
      <c r="H23" s="10" t="n"/>
      <c r="I23" s="10" t="n"/>
      <c r="J23" s="10" t="n"/>
      <c r="K23" s="10" t="n"/>
      <c r="L23" s="10" t="n"/>
      <c r="M23" s="10" t="n"/>
      <c r="N23" s="10" t="n"/>
      <c r="O23" s="10" t="n"/>
      <c r="P23" s="10" t="n"/>
      <c r="Q23" s="11">
        <f>COUNTIFS('🎨 Creatives'!$B$4:$B$53,B23,'🎨 Creatives'!$E$4:$E$53,"&lt;&gt;")+COUNTIFS('🌐 Landing Pages'!$B$4:$B$53,B23,'🌐 Landing Pages'!$E$4:$E$53,"&lt;&gt;")+COUNTIFS('✍ Content Writing'!$B$4:$B$53,B23,'✍ Content Writing'!$E$4:$E$53,"&lt;&gt;")+COUNTIFS('🎁 Lead Magnets'!$B$4:$B$53,B23,'🎁 Lead Magnets'!$E$4:$E$53,"&lt;&gt;")+COUNTIFS('📧 Email Sequences'!$B$4:$B$53,B23,'📧 Email Sequences'!$E$4:$E$53,"&lt;&gt;")+COUNTIFS('📣 Ad Copy'!$B$4:$B$53,B23,'📣 Ad Copy'!$E$4:$E$53,"&lt;&gt;")+COUNTIFS('🔍 SEO'!$B$4:$B$53,B23,'🔍 SEO'!$E$4:$E$53,"&lt;&gt;")+COUNTIFS('🎤 Webinars &amp; Events'!$B$4:$B$53,B23,'🎤 Webinars &amp; Events'!$E$4:$E$53,"&lt;&gt;")</f>
        <v/>
      </c>
      <c r="R23" s="10" t="n"/>
    </row>
    <row r="24" ht="22" customHeight="1">
      <c r="A24" s="4" t="n">
        <v>21</v>
      </c>
      <c r="B24" s="5">
        <f>IF(C24="","","CAMP-"&amp;TEXT(21,"000"))</f>
        <v/>
      </c>
      <c r="C24" s="6" t="n"/>
      <c r="D24" s="6" t="n"/>
      <c r="E24" s="6" t="n"/>
      <c r="F24" s="6" t="n"/>
      <c r="G24" s="6" t="n"/>
      <c r="H24" s="6" t="n"/>
      <c r="I24" s="6" t="n"/>
      <c r="J24" s="6" t="n"/>
      <c r="K24" s="6" t="n"/>
      <c r="L24" s="6" t="n"/>
      <c r="M24" s="6" t="n"/>
      <c r="N24" s="6" t="n"/>
      <c r="O24" s="6" t="n"/>
      <c r="P24" s="6" t="n"/>
      <c r="Q24" s="7">
        <f>COUNTIFS('🎨 Creatives'!$B$4:$B$53,B24,'🎨 Creatives'!$E$4:$E$53,"&lt;&gt;")+COUNTIFS('🌐 Landing Pages'!$B$4:$B$53,B24,'🌐 Landing Pages'!$E$4:$E$53,"&lt;&gt;")+COUNTIFS('✍ Content Writing'!$B$4:$B$53,B24,'✍ Content Writing'!$E$4:$E$53,"&lt;&gt;")+COUNTIFS('🎁 Lead Magnets'!$B$4:$B$53,B24,'🎁 Lead Magnets'!$E$4:$E$53,"&lt;&gt;")+COUNTIFS('📧 Email Sequences'!$B$4:$B$53,B24,'📧 Email Sequences'!$E$4:$E$53,"&lt;&gt;")+COUNTIFS('📣 Ad Copy'!$B$4:$B$53,B24,'📣 Ad Copy'!$E$4:$E$53,"&lt;&gt;")+COUNTIFS('🔍 SEO'!$B$4:$B$53,B24,'🔍 SEO'!$E$4:$E$53,"&lt;&gt;")+COUNTIFS('🎤 Webinars &amp; Events'!$B$4:$B$53,B24,'🎤 Webinars &amp; Events'!$E$4:$E$53,"&lt;&gt;")</f>
        <v/>
      </c>
      <c r="R24" s="6" t="n"/>
    </row>
    <row r="25" ht="22" customHeight="1">
      <c r="A25" s="8" t="n">
        <v>22</v>
      </c>
      <c r="B25" s="9">
        <f>IF(C25="","","CAMP-"&amp;TEXT(22,"000"))</f>
        <v/>
      </c>
      <c r="C25" s="10" t="n"/>
      <c r="D25" s="10" t="n"/>
      <c r="E25" s="10" t="n"/>
      <c r="F25" s="10" t="n"/>
      <c r="G25" s="10" t="n"/>
      <c r="H25" s="10" t="n"/>
      <c r="I25" s="10" t="n"/>
      <c r="J25" s="10" t="n"/>
      <c r="K25" s="10" t="n"/>
      <c r="L25" s="10" t="n"/>
      <c r="M25" s="10" t="n"/>
      <c r="N25" s="10" t="n"/>
      <c r="O25" s="10" t="n"/>
      <c r="P25" s="10" t="n"/>
      <c r="Q25" s="11">
        <f>COUNTIFS('🎨 Creatives'!$B$4:$B$53,B25,'🎨 Creatives'!$E$4:$E$53,"&lt;&gt;")+COUNTIFS('🌐 Landing Pages'!$B$4:$B$53,B25,'🌐 Landing Pages'!$E$4:$E$53,"&lt;&gt;")+COUNTIFS('✍ Content Writing'!$B$4:$B$53,B25,'✍ Content Writing'!$E$4:$E$53,"&lt;&gt;")+COUNTIFS('🎁 Lead Magnets'!$B$4:$B$53,B25,'🎁 Lead Magnets'!$E$4:$E$53,"&lt;&gt;")+COUNTIFS('📧 Email Sequences'!$B$4:$B$53,B25,'📧 Email Sequences'!$E$4:$E$53,"&lt;&gt;")+COUNTIFS('📣 Ad Copy'!$B$4:$B$53,B25,'📣 Ad Copy'!$E$4:$E$53,"&lt;&gt;")+COUNTIFS('🔍 SEO'!$B$4:$B$53,B25,'🔍 SEO'!$E$4:$E$53,"&lt;&gt;")+COUNTIFS('🎤 Webinars &amp; Events'!$B$4:$B$53,B25,'🎤 Webinars &amp; Events'!$E$4:$E$53,"&lt;&gt;")</f>
        <v/>
      </c>
      <c r="R25" s="10" t="n"/>
    </row>
    <row r="26" ht="22" customHeight="1">
      <c r="A26" s="4" t="n">
        <v>23</v>
      </c>
      <c r="B26" s="5">
        <f>IF(C26="","","CAMP-"&amp;TEXT(23,"000"))</f>
        <v/>
      </c>
      <c r="C26" s="6" t="n"/>
      <c r="D26" s="6" t="n"/>
      <c r="E26" s="6" t="n"/>
      <c r="F26" s="6" t="n"/>
      <c r="G26" s="6" t="n"/>
      <c r="H26" s="6" t="n"/>
      <c r="I26" s="6" t="n"/>
      <c r="J26" s="6" t="n"/>
      <c r="K26" s="6" t="n"/>
      <c r="L26" s="6" t="n"/>
      <c r="M26" s="6" t="n"/>
      <c r="N26" s="6" t="n"/>
      <c r="O26" s="6" t="n"/>
      <c r="P26" s="6" t="n"/>
      <c r="Q26" s="7">
        <f>COUNTIFS('🎨 Creatives'!$B$4:$B$53,B26,'🎨 Creatives'!$E$4:$E$53,"&lt;&gt;")+COUNTIFS('🌐 Landing Pages'!$B$4:$B$53,B26,'🌐 Landing Pages'!$E$4:$E$53,"&lt;&gt;")+COUNTIFS('✍ Content Writing'!$B$4:$B$53,B26,'✍ Content Writing'!$E$4:$E$53,"&lt;&gt;")+COUNTIFS('🎁 Lead Magnets'!$B$4:$B$53,B26,'🎁 Lead Magnets'!$E$4:$E$53,"&lt;&gt;")+COUNTIFS('📧 Email Sequences'!$B$4:$B$53,B26,'📧 Email Sequences'!$E$4:$E$53,"&lt;&gt;")+COUNTIFS('📣 Ad Copy'!$B$4:$B$53,B26,'📣 Ad Copy'!$E$4:$E$53,"&lt;&gt;")+COUNTIFS('🔍 SEO'!$B$4:$B$53,B26,'🔍 SEO'!$E$4:$E$53,"&lt;&gt;")+COUNTIFS('🎤 Webinars &amp; Events'!$B$4:$B$53,B26,'🎤 Webinars &amp; Events'!$E$4:$E$53,"&lt;&gt;")</f>
        <v/>
      </c>
      <c r="R26" s="6" t="n"/>
    </row>
    <row r="27" ht="22" customHeight="1">
      <c r="A27" s="8" t="n">
        <v>24</v>
      </c>
      <c r="B27" s="9">
        <f>IF(C27="","","CAMP-"&amp;TEXT(24,"000"))</f>
        <v/>
      </c>
      <c r="C27" s="10" t="n"/>
      <c r="D27" s="10" t="n"/>
      <c r="E27" s="10" t="n"/>
      <c r="F27" s="10" t="n"/>
      <c r="G27" s="10" t="n"/>
      <c r="H27" s="10" t="n"/>
      <c r="I27" s="10" t="n"/>
      <c r="J27" s="10" t="n"/>
      <c r="K27" s="10" t="n"/>
      <c r="L27" s="10" t="n"/>
      <c r="M27" s="10" t="n"/>
      <c r="N27" s="10" t="n"/>
      <c r="O27" s="10" t="n"/>
      <c r="P27" s="10" t="n"/>
      <c r="Q27" s="11">
        <f>COUNTIFS('🎨 Creatives'!$B$4:$B$53,B27,'🎨 Creatives'!$E$4:$E$53,"&lt;&gt;")+COUNTIFS('🌐 Landing Pages'!$B$4:$B$53,B27,'🌐 Landing Pages'!$E$4:$E$53,"&lt;&gt;")+COUNTIFS('✍ Content Writing'!$B$4:$B$53,B27,'✍ Content Writing'!$E$4:$E$53,"&lt;&gt;")+COUNTIFS('🎁 Lead Magnets'!$B$4:$B$53,B27,'🎁 Lead Magnets'!$E$4:$E$53,"&lt;&gt;")+COUNTIFS('📧 Email Sequences'!$B$4:$B$53,B27,'📧 Email Sequences'!$E$4:$E$53,"&lt;&gt;")+COUNTIFS('📣 Ad Copy'!$B$4:$B$53,B27,'📣 Ad Copy'!$E$4:$E$53,"&lt;&gt;")+COUNTIFS('🔍 SEO'!$B$4:$B$53,B27,'🔍 SEO'!$E$4:$E$53,"&lt;&gt;")+COUNTIFS('🎤 Webinars &amp; Events'!$B$4:$B$53,B27,'🎤 Webinars &amp; Events'!$E$4:$E$53,"&lt;&gt;")</f>
        <v/>
      </c>
      <c r="R27" s="10" t="n"/>
    </row>
    <row r="28" ht="22" customHeight="1">
      <c r="A28" s="4" t="n">
        <v>25</v>
      </c>
      <c r="B28" s="5">
        <f>IF(C28="","","CAMP-"&amp;TEXT(25,"000"))</f>
        <v/>
      </c>
      <c r="C28" s="6" t="n"/>
      <c r="D28" s="6" t="n"/>
      <c r="E28" s="6" t="n"/>
      <c r="F28" s="6" t="n"/>
      <c r="G28" s="6" t="n"/>
      <c r="H28" s="6" t="n"/>
      <c r="I28" s="6" t="n"/>
      <c r="J28" s="6" t="n"/>
      <c r="K28" s="6" t="n"/>
      <c r="L28" s="6" t="n"/>
      <c r="M28" s="6" t="n"/>
      <c r="N28" s="6" t="n"/>
      <c r="O28" s="6" t="n"/>
      <c r="P28" s="6" t="n"/>
      <c r="Q28" s="7">
        <f>COUNTIFS('🎨 Creatives'!$B$4:$B$53,B28,'🎨 Creatives'!$E$4:$E$53,"&lt;&gt;")+COUNTIFS('🌐 Landing Pages'!$B$4:$B$53,B28,'🌐 Landing Pages'!$E$4:$E$53,"&lt;&gt;")+COUNTIFS('✍ Content Writing'!$B$4:$B$53,B28,'✍ Content Writing'!$E$4:$E$53,"&lt;&gt;")+COUNTIFS('🎁 Lead Magnets'!$B$4:$B$53,B28,'🎁 Lead Magnets'!$E$4:$E$53,"&lt;&gt;")+COUNTIFS('📧 Email Sequences'!$B$4:$B$53,B28,'📧 Email Sequences'!$E$4:$E$53,"&lt;&gt;")+COUNTIFS('📣 Ad Copy'!$B$4:$B$53,B28,'📣 Ad Copy'!$E$4:$E$53,"&lt;&gt;")+COUNTIFS('🔍 SEO'!$B$4:$B$53,B28,'🔍 SEO'!$E$4:$E$53,"&lt;&gt;")+COUNTIFS('🎤 Webinars &amp; Events'!$B$4:$B$53,B28,'🎤 Webinars &amp; Events'!$E$4:$E$53,"&lt;&gt;")</f>
        <v/>
      </c>
      <c r="R28" s="6" t="n"/>
    </row>
    <row r="29" ht="22" customHeight="1">
      <c r="A29" s="8" t="n">
        <v>26</v>
      </c>
      <c r="B29" s="9">
        <f>IF(C29="","","CAMP-"&amp;TEXT(26,"000"))</f>
        <v/>
      </c>
      <c r="C29" s="10" t="n"/>
      <c r="D29" s="10" t="n"/>
      <c r="E29" s="10" t="n"/>
      <c r="F29" s="10" t="n"/>
      <c r="G29" s="10" t="n"/>
      <c r="H29" s="10" t="n"/>
      <c r="I29" s="10" t="n"/>
      <c r="J29" s="10" t="n"/>
      <c r="K29" s="10" t="n"/>
      <c r="L29" s="10" t="n"/>
      <c r="M29" s="10" t="n"/>
      <c r="N29" s="10" t="n"/>
      <c r="O29" s="10" t="n"/>
      <c r="P29" s="10" t="n"/>
      <c r="Q29" s="11">
        <f>COUNTIFS('🎨 Creatives'!$B$4:$B$53,B29,'🎨 Creatives'!$E$4:$E$53,"&lt;&gt;")+COUNTIFS('🌐 Landing Pages'!$B$4:$B$53,B29,'🌐 Landing Pages'!$E$4:$E$53,"&lt;&gt;")+COUNTIFS('✍ Content Writing'!$B$4:$B$53,B29,'✍ Content Writing'!$E$4:$E$53,"&lt;&gt;")+COUNTIFS('🎁 Lead Magnets'!$B$4:$B$53,B29,'🎁 Lead Magnets'!$E$4:$E$53,"&lt;&gt;")+COUNTIFS('📧 Email Sequences'!$B$4:$B$53,B29,'📧 Email Sequences'!$E$4:$E$53,"&lt;&gt;")+COUNTIFS('📣 Ad Copy'!$B$4:$B$53,B29,'📣 Ad Copy'!$E$4:$E$53,"&lt;&gt;")+COUNTIFS('🔍 SEO'!$B$4:$B$53,B29,'🔍 SEO'!$E$4:$E$53,"&lt;&gt;")+COUNTIFS('🎤 Webinars &amp; Events'!$B$4:$B$53,B29,'🎤 Webinars &amp; Events'!$E$4:$E$53,"&lt;&gt;")</f>
        <v/>
      </c>
      <c r="R29" s="10" t="n"/>
    </row>
    <row r="30" ht="22" customHeight="1">
      <c r="A30" s="4" t="n">
        <v>27</v>
      </c>
      <c r="B30" s="5">
        <f>IF(C30="","","CAMP-"&amp;TEXT(27,"000"))</f>
        <v/>
      </c>
      <c r="C30" s="6" t="n"/>
      <c r="D30" s="6" t="n"/>
      <c r="E30" s="6" t="n"/>
      <c r="F30" s="6" t="n"/>
      <c r="G30" s="6" t="n"/>
      <c r="H30" s="6" t="n"/>
      <c r="I30" s="6" t="n"/>
      <c r="J30" s="6" t="n"/>
      <c r="K30" s="6" t="n"/>
      <c r="L30" s="6" t="n"/>
      <c r="M30" s="6" t="n"/>
      <c r="N30" s="6" t="n"/>
      <c r="O30" s="6" t="n"/>
      <c r="P30" s="6" t="n"/>
      <c r="Q30" s="7">
        <f>COUNTIFS('🎨 Creatives'!$B$4:$B$53,B30,'🎨 Creatives'!$E$4:$E$53,"&lt;&gt;")+COUNTIFS('🌐 Landing Pages'!$B$4:$B$53,B30,'🌐 Landing Pages'!$E$4:$E$53,"&lt;&gt;")+COUNTIFS('✍ Content Writing'!$B$4:$B$53,B30,'✍ Content Writing'!$E$4:$E$53,"&lt;&gt;")+COUNTIFS('🎁 Lead Magnets'!$B$4:$B$53,B30,'🎁 Lead Magnets'!$E$4:$E$53,"&lt;&gt;")+COUNTIFS('📧 Email Sequences'!$B$4:$B$53,B30,'📧 Email Sequences'!$E$4:$E$53,"&lt;&gt;")+COUNTIFS('📣 Ad Copy'!$B$4:$B$53,B30,'📣 Ad Copy'!$E$4:$E$53,"&lt;&gt;")+COUNTIFS('🔍 SEO'!$B$4:$B$53,B30,'🔍 SEO'!$E$4:$E$53,"&lt;&gt;")+COUNTIFS('🎤 Webinars &amp; Events'!$B$4:$B$53,B30,'🎤 Webinars &amp; Events'!$E$4:$E$53,"&lt;&gt;")</f>
        <v/>
      </c>
      <c r="R30" s="6" t="n"/>
    </row>
    <row r="31" ht="22" customHeight="1">
      <c r="A31" s="8" t="n">
        <v>28</v>
      </c>
      <c r="B31" s="9">
        <f>IF(C31="","","CAMP-"&amp;TEXT(28,"000"))</f>
        <v/>
      </c>
      <c r="C31" s="10" t="n"/>
      <c r="D31" s="10" t="n"/>
      <c r="E31" s="10" t="n"/>
      <c r="F31" s="10" t="n"/>
      <c r="G31" s="10" t="n"/>
      <c r="H31" s="10" t="n"/>
      <c r="I31" s="10" t="n"/>
      <c r="J31" s="10" t="n"/>
      <c r="K31" s="10" t="n"/>
      <c r="L31" s="10" t="n"/>
      <c r="M31" s="10" t="n"/>
      <c r="N31" s="10" t="n"/>
      <c r="O31" s="10" t="n"/>
      <c r="P31" s="10" t="n"/>
      <c r="Q31" s="11">
        <f>COUNTIFS('🎨 Creatives'!$B$4:$B$53,B31,'🎨 Creatives'!$E$4:$E$53,"&lt;&gt;")+COUNTIFS('🌐 Landing Pages'!$B$4:$B$53,B31,'🌐 Landing Pages'!$E$4:$E$53,"&lt;&gt;")+COUNTIFS('✍ Content Writing'!$B$4:$B$53,B31,'✍ Content Writing'!$E$4:$E$53,"&lt;&gt;")+COUNTIFS('🎁 Lead Magnets'!$B$4:$B$53,B31,'🎁 Lead Magnets'!$E$4:$E$53,"&lt;&gt;")+COUNTIFS('📧 Email Sequences'!$B$4:$B$53,B31,'📧 Email Sequences'!$E$4:$E$53,"&lt;&gt;")+COUNTIFS('📣 Ad Copy'!$B$4:$B$53,B31,'📣 Ad Copy'!$E$4:$E$53,"&lt;&gt;")+COUNTIFS('🔍 SEO'!$B$4:$B$53,B31,'🔍 SEO'!$E$4:$E$53,"&lt;&gt;")+COUNTIFS('🎤 Webinars &amp; Events'!$B$4:$B$53,B31,'🎤 Webinars &amp; Events'!$E$4:$E$53,"&lt;&gt;")</f>
        <v/>
      </c>
      <c r="R31" s="10" t="n"/>
    </row>
    <row r="32" ht="22" customHeight="1">
      <c r="A32" s="4" t="n">
        <v>29</v>
      </c>
      <c r="B32" s="5">
        <f>IF(C32="","","CAMP-"&amp;TEXT(29,"000"))</f>
        <v/>
      </c>
      <c r="C32" s="6" t="n"/>
      <c r="D32" s="6" t="n"/>
      <c r="E32" s="6" t="n"/>
      <c r="F32" s="6" t="n"/>
      <c r="G32" s="6" t="n"/>
      <c r="H32" s="6" t="n"/>
      <c r="I32" s="6" t="n"/>
      <c r="J32" s="6" t="n"/>
      <c r="K32" s="6" t="n"/>
      <c r="L32" s="6" t="n"/>
      <c r="M32" s="6" t="n"/>
      <c r="N32" s="6" t="n"/>
      <c r="O32" s="6" t="n"/>
      <c r="P32" s="6" t="n"/>
      <c r="Q32" s="7">
        <f>COUNTIFS('🎨 Creatives'!$B$4:$B$53,B32,'🎨 Creatives'!$E$4:$E$53,"&lt;&gt;")+COUNTIFS('🌐 Landing Pages'!$B$4:$B$53,B32,'🌐 Landing Pages'!$E$4:$E$53,"&lt;&gt;")+COUNTIFS('✍ Content Writing'!$B$4:$B$53,B32,'✍ Content Writing'!$E$4:$E$53,"&lt;&gt;")+COUNTIFS('🎁 Lead Magnets'!$B$4:$B$53,B32,'🎁 Lead Magnets'!$E$4:$E$53,"&lt;&gt;")+COUNTIFS('📧 Email Sequences'!$B$4:$B$53,B32,'📧 Email Sequences'!$E$4:$E$53,"&lt;&gt;")+COUNTIFS('📣 Ad Copy'!$B$4:$B$53,B32,'📣 Ad Copy'!$E$4:$E$53,"&lt;&gt;")+COUNTIFS('🔍 SEO'!$B$4:$B$53,B32,'🔍 SEO'!$E$4:$E$53,"&lt;&gt;")+COUNTIFS('🎤 Webinars &amp; Events'!$B$4:$B$53,B32,'🎤 Webinars &amp; Events'!$E$4:$E$53,"&lt;&gt;")</f>
        <v/>
      </c>
      <c r="R32" s="6" t="n"/>
    </row>
    <row r="33" ht="22" customHeight="1">
      <c r="A33" s="8" t="n">
        <v>30</v>
      </c>
      <c r="B33" s="9">
        <f>IF(C33="","","CAMP-"&amp;TEXT(30,"000"))</f>
        <v/>
      </c>
      <c r="C33" s="10" t="n"/>
      <c r="D33" s="10" t="n"/>
      <c r="E33" s="10" t="n"/>
      <c r="F33" s="10" t="n"/>
      <c r="G33" s="10" t="n"/>
      <c r="H33" s="10" t="n"/>
      <c r="I33" s="10" t="n"/>
      <c r="J33" s="10" t="n"/>
      <c r="K33" s="10" t="n"/>
      <c r="L33" s="10" t="n"/>
      <c r="M33" s="10" t="n"/>
      <c r="N33" s="10" t="n"/>
      <c r="O33" s="10" t="n"/>
      <c r="P33" s="10" t="n"/>
      <c r="Q33" s="11">
        <f>COUNTIFS('🎨 Creatives'!$B$4:$B$53,B33,'🎨 Creatives'!$E$4:$E$53,"&lt;&gt;")+COUNTIFS('🌐 Landing Pages'!$B$4:$B$53,B33,'🌐 Landing Pages'!$E$4:$E$53,"&lt;&gt;")+COUNTIFS('✍ Content Writing'!$B$4:$B$53,B33,'✍ Content Writing'!$E$4:$E$53,"&lt;&gt;")+COUNTIFS('🎁 Lead Magnets'!$B$4:$B$53,B33,'🎁 Lead Magnets'!$E$4:$E$53,"&lt;&gt;")+COUNTIFS('📧 Email Sequences'!$B$4:$B$53,B33,'📧 Email Sequences'!$E$4:$E$53,"&lt;&gt;")+COUNTIFS('📣 Ad Copy'!$B$4:$B$53,B33,'📣 Ad Copy'!$E$4:$E$53,"&lt;&gt;")+COUNTIFS('🔍 SEO'!$B$4:$B$53,B33,'🔍 SEO'!$E$4:$E$53,"&lt;&gt;")+COUNTIFS('🎤 Webinars &amp; Events'!$B$4:$B$53,B33,'🎤 Webinars &amp; Events'!$E$4:$E$53,"&lt;&gt;")</f>
        <v/>
      </c>
      <c r="R33" s="10" t="n"/>
    </row>
    <row r="34" ht="22" customHeight="1">
      <c r="A34" s="4" t="n">
        <v>31</v>
      </c>
      <c r="B34" s="5">
        <f>IF(C34="","","CAMP-"&amp;TEXT(31,"000"))</f>
        <v/>
      </c>
      <c r="C34" s="6" t="n"/>
      <c r="D34" s="6" t="n"/>
      <c r="E34" s="6" t="n"/>
      <c r="F34" s="6" t="n"/>
      <c r="G34" s="6" t="n"/>
      <c r="H34" s="6" t="n"/>
      <c r="I34" s="6" t="n"/>
      <c r="J34" s="6" t="n"/>
      <c r="K34" s="6" t="n"/>
      <c r="L34" s="6" t="n"/>
      <c r="M34" s="6" t="n"/>
      <c r="N34" s="6" t="n"/>
      <c r="O34" s="6" t="n"/>
      <c r="P34" s="6" t="n"/>
      <c r="Q34" s="7">
        <f>COUNTIFS('🎨 Creatives'!$B$4:$B$53,B34,'🎨 Creatives'!$E$4:$E$53,"&lt;&gt;")+COUNTIFS('🌐 Landing Pages'!$B$4:$B$53,B34,'🌐 Landing Pages'!$E$4:$E$53,"&lt;&gt;")+COUNTIFS('✍ Content Writing'!$B$4:$B$53,B34,'✍ Content Writing'!$E$4:$E$53,"&lt;&gt;")+COUNTIFS('🎁 Lead Magnets'!$B$4:$B$53,B34,'🎁 Lead Magnets'!$E$4:$E$53,"&lt;&gt;")+COUNTIFS('📧 Email Sequences'!$B$4:$B$53,B34,'📧 Email Sequences'!$E$4:$E$53,"&lt;&gt;")+COUNTIFS('📣 Ad Copy'!$B$4:$B$53,B34,'📣 Ad Copy'!$E$4:$E$53,"&lt;&gt;")+COUNTIFS('🔍 SEO'!$B$4:$B$53,B34,'🔍 SEO'!$E$4:$E$53,"&lt;&gt;")+COUNTIFS('🎤 Webinars &amp; Events'!$B$4:$B$53,B34,'🎤 Webinars &amp; Events'!$E$4:$E$53,"&lt;&gt;")</f>
        <v/>
      </c>
      <c r="R34" s="6" t="n"/>
    </row>
    <row r="35" ht="22" customHeight="1">
      <c r="A35" s="8" t="n">
        <v>32</v>
      </c>
      <c r="B35" s="9">
        <f>IF(C35="","","CAMP-"&amp;TEXT(32,"000"))</f>
        <v/>
      </c>
      <c r="C35" s="10" t="n"/>
      <c r="D35" s="10" t="n"/>
      <c r="E35" s="10" t="n"/>
      <c r="F35" s="10" t="n"/>
      <c r="G35" s="10" t="n"/>
      <c r="H35" s="10" t="n"/>
      <c r="I35" s="10" t="n"/>
      <c r="J35" s="10" t="n"/>
      <c r="K35" s="10" t="n"/>
      <c r="L35" s="10" t="n"/>
      <c r="M35" s="10" t="n"/>
      <c r="N35" s="10" t="n"/>
      <c r="O35" s="10" t="n"/>
      <c r="P35" s="10" t="n"/>
      <c r="Q35" s="11">
        <f>COUNTIFS('🎨 Creatives'!$B$4:$B$53,B35,'🎨 Creatives'!$E$4:$E$53,"&lt;&gt;")+COUNTIFS('🌐 Landing Pages'!$B$4:$B$53,B35,'🌐 Landing Pages'!$E$4:$E$53,"&lt;&gt;")+COUNTIFS('✍ Content Writing'!$B$4:$B$53,B35,'✍ Content Writing'!$E$4:$E$53,"&lt;&gt;")+COUNTIFS('🎁 Lead Magnets'!$B$4:$B$53,B35,'🎁 Lead Magnets'!$E$4:$E$53,"&lt;&gt;")+COUNTIFS('📧 Email Sequences'!$B$4:$B$53,B35,'📧 Email Sequences'!$E$4:$E$53,"&lt;&gt;")+COUNTIFS('📣 Ad Copy'!$B$4:$B$53,B35,'📣 Ad Copy'!$E$4:$E$53,"&lt;&gt;")+COUNTIFS('🔍 SEO'!$B$4:$B$53,B35,'🔍 SEO'!$E$4:$E$53,"&lt;&gt;")+COUNTIFS('🎤 Webinars &amp; Events'!$B$4:$B$53,B35,'🎤 Webinars &amp; Events'!$E$4:$E$53,"&lt;&gt;")</f>
        <v/>
      </c>
      <c r="R35" s="10" t="n"/>
    </row>
    <row r="36" ht="22" customHeight="1">
      <c r="A36" s="4" t="n">
        <v>33</v>
      </c>
      <c r="B36" s="5">
        <f>IF(C36="","","CAMP-"&amp;TEXT(33,"000"))</f>
        <v/>
      </c>
      <c r="C36" s="6" t="n"/>
      <c r="D36" s="6" t="n"/>
      <c r="E36" s="6" t="n"/>
      <c r="F36" s="6" t="n"/>
      <c r="G36" s="6" t="n"/>
      <c r="H36" s="6" t="n"/>
      <c r="I36" s="6" t="n"/>
      <c r="J36" s="6" t="n"/>
      <c r="K36" s="6" t="n"/>
      <c r="L36" s="6" t="n"/>
      <c r="M36" s="6" t="n"/>
      <c r="N36" s="6" t="n"/>
      <c r="O36" s="6" t="n"/>
      <c r="P36" s="6" t="n"/>
      <c r="Q36" s="7">
        <f>COUNTIFS('🎨 Creatives'!$B$4:$B$53,B36,'🎨 Creatives'!$E$4:$E$53,"&lt;&gt;")+COUNTIFS('🌐 Landing Pages'!$B$4:$B$53,B36,'🌐 Landing Pages'!$E$4:$E$53,"&lt;&gt;")+COUNTIFS('✍ Content Writing'!$B$4:$B$53,B36,'✍ Content Writing'!$E$4:$E$53,"&lt;&gt;")+COUNTIFS('🎁 Lead Magnets'!$B$4:$B$53,B36,'🎁 Lead Magnets'!$E$4:$E$53,"&lt;&gt;")+COUNTIFS('📧 Email Sequences'!$B$4:$B$53,B36,'📧 Email Sequences'!$E$4:$E$53,"&lt;&gt;")+COUNTIFS('📣 Ad Copy'!$B$4:$B$53,B36,'📣 Ad Copy'!$E$4:$E$53,"&lt;&gt;")+COUNTIFS('🔍 SEO'!$B$4:$B$53,B36,'🔍 SEO'!$E$4:$E$53,"&lt;&gt;")+COUNTIFS('🎤 Webinars &amp; Events'!$B$4:$B$53,B36,'🎤 Webinars &amp; Events'!$E$4:$E$53,"&lt;&gt;")</f>
        <v/>
      </c>
      <c r="R36" s="6" t="n"/>
    </row>
    <row r="37" ht="22" customHeight="1">
      <c r="A37" s="8" t="n">
        <v>34</v>
      </c>
      <c r="B37" s="9">
        <f>IF(C37="","","CAMP-"&amp;TEXT(34,"000"))</f>
        <v/>
      </c>
      <c r="C37" s="10" t="n"/>
      <c r="D37" s="10" t="n"/>
      <c r="E37" s="10" t="n"/>
      <c r="F37" s="10" t="n"/>
      <c r="G37" s="10" t="n"/>
      <c r="H37" s="10" t="n"/>
      <c r="I37" s="10" t="n"/>
      <c r="J37" s="10" t="n"/>
      <c r="K37" s="10" t="n"/>
      <c r="L37" s="10" t="n"/>
      <c r="M37" s="10" t="n"/>
      <c r="N37" s="10" t="n"/>
      <c r="O37" s="10" t="n"/>
      <c r="P37" s="10" t="n"/>
      <c r="Q37" s="11">
        <f>COUNTIFS('🎨 Creatives'!$B$4:$B$53,B37,'🎨 Creatives'!$E$4:$E$53,"&lt;&gt;")+COUNTIFS('🌐 Landing Pages'!$B$4:$B$53,B37,'🌐 Landing Pages'!$E$4:$E$53,"&lt;&gt;")+COUNTIFS('✍ Content Writing'!$B$4:$B$53,B37,'✍ Content Writing'!$E$4:$E$53,"&lt;&gt;")+COUNTIFS('🎁 Lead Magnets'!$B$4:$B$53,B37,'🎁 Lead Magnets'!$E$4:$E$53,"&lt;&gt;")+COUNTIFS('📧 Email Sequences'!$B$4:$B$53,B37,'📧 Email Sequences'!$E$4:$E$53,"&lt;&gt;")+COUNTIFS('📣 Ad Copy'!$B$4:$B$53,B37,'📣 Ad Copy'!$E$4:$E$53,"&lt;&gt;")+COUNTIFS('🔍 SEO'!$B$4:$B$53,B37,'🔍 SEO'!$E$4:$E$53,"&lt;&gt;")+COUNTIFS('🎤 Webinars &amp; Events'!$B$4:$B$53,B37,'🎤 Webinars &amp; Events'!$E$4:$E$53,"&lt;&gt;")</f>
        <v/>
      </c>
      <c r="R37" s="10" t="n"/>
    </row>
    <row r="38" ht="22" customHeight="1">
      <c r="A38" s="4" t="n">
        <v>35</v>
      </c>
      <c r="B38" s="5">
        <f>IF(C38="","","CAMP-"&amp;TEXT(35,"000"))</f>
        <v/>
      </c>
      <c r="C38" s="6" t="n"/>
      <c r="D38" s="6" t="n"/>
      <c r="E38" s="6" t="n"/>
      <c r="F38" s="6" t="n"/>
      <c r="G38" s="6" t="n"/>
      <c r="H38" s="6" t="n"/>
      <c r="I38" s="6" t="n"/>
      <c r="J38" s="6" t="n"/>
      <c r="K38" s="6" t="n"/>
      <c r="L38" s="6" t="n"/>
      <c r="M38" s="6" t="n"/>
      <c r="N38" s="6" t="n"/>
      <c r="O38" s="6" t="n"/>
      <c r="P38" s="6" t="n"/>
      <c r="Q38" s="7">
        <f>COUNTIFS('🎨 Creatives'!$B$4:$B$53,B38,'🎨 Creatives'!$E$4:$E$53,"&lt;&gt;")+COUNTIFS('🌐 Landing Pages'!$B$4:$B$53,B38,'🌐 Landing Pages'!$E$4:$E$53,"&lt;&gt;")+COUNTIFS('✍ Content Writing'!$B$4:$B$53,B38,'✍ Content Writing'!$E$4:$E$53,"&lt;&gt;")+COUNTIFS('🎁 Lead Magnets'!$B$4:$B$53,B38,'🎁 Lead Magnets'!$E$4:$E$53,"&lt;&gt;")+COUNTIFS('📧 Email Sequences'!$B$4:$B$53,B38,'📧 Email Sequences'!$E$4:$E$53,"&lt;&gt;")+COUNTIFS('📣 Ad Copy'!$B$4:$B$53,B38,'📣 Ad Copy'!$E$4:$E$53,"&lt;&gt;")+COUNTIFS('🔍 SEO'!$B$4:$B$53,B38,'🔍 SEO'!$E$4:$E$53,"&lt;&gt;")+COUNTIFS('🎤 Webinars &amp; Events'!$B$4:$B$53,B38,'🎤 Webinars &amp; Events'!$E$4:$E$53,"&lt;&gt;")</f>
        <v/>
      </c>
      <c r="R38" s="6" t="n"/>
    </row>
    <row r="39" ht="22" customHeight="1">
      <c r="A39" s="8" t="n">
        <v>36</v>
      </c>
      <c r="B39" s="9">
        <f>IF(C39="","","CAMP-"&amp;TEXT(36,"000"))</f>
        <v/>
      </c>
      <c r="C39" s="10" t="n"/>
      <c r="D39" s="10" t="n"/>
      <c r="E39" s="10" t="n"/>
      <c r="F39" s="10" t="n"/>
      <c r="G39" s="10" t="n"/>
      <c r="H39" s="10" t="n"/>
      <c r="I39" s="10" t="n"/>
      <c r="J39" s="10" t="n"/>
      <c r="K39" s="10" t="n"/>
      <c r="L39" s="10" t="n"/>
      <c r="M39" s="10" t="n"/>
      <c r="N39" s="10" t="n"/>
      <c r="O39" s="10" t="n"/>
      <c r="P39" s="10" t="n"/>
      <c r="Q39" s="11">
        <f>COUNTIFS('🎨 Creatives'!$B$4:$B$53,B39,'🎨 Creatives'!$E$4:$E$53,"&lt;&gt;")+COUNTIFS('🌐 Landing Pages'!$B$4:$B$53,B39,'🌐 Landing Pages'!$E$4:$E$53,"&lt;&gt;")+COUNTIFS('✍ Content Writing'!$B$4:$B$53,B39,'✍ Content Writing'!$E$4:$E$53,"&lt;&gt;")+COUNTIFS('🎁 Lead Magnets'!$B$4:$B$53,B39,'🎁 Lead Magnets'!$E$4:$E$53,"&lt;&gt;")+COUNTIFS('📧 Email Sequences'!$B$4:$B$53,B39,'📧 Email Sequences'!$E$4:$E$53,"&lt;&gt;")+COUNTIFS('📣 Ad Copy'!$B$4:$B$53,B39,'📣 Ad Copy'!$E$4:$E$53,"&lt;&gt;")+COUNTIFS('🔍 SEO'!$B$4:$B$53,B39,'🔍 SEO'!$E$4:$E$53,"&lt;&gt;")+COUNTIFS('🎤 Webinars &amp; Events'!$B$4:$B$53,B39,'🎤 Webinars &amp; Events'!$E$4:$E$53,"&lt;&gt;")</f>
        <v/>
      </c>
      <c r="R39" s="10" t="n"/>
    </row>
    <row r="40" ht="22" customHeight="1">
      <c r="A40" s="4" t="n">
        <v>37</v>
      </c>
      <c r="B40" s="5">
        <f>IF(C40="","","CAMP-"&amp;TEXT(37,"000"))</f>
        <v/>
      </c>
      <c r="C40" s="6" t="n"/>
      <c r="D40" s="6" t="n"/>
      <c r="E40" s="6" t="n"/>
      <c r="F40" s="6" t="n"/>
      <c r="G40" s="6" t="n"/>
      <c r="H40" s="6" t="n"/>
      <c r="I40" s="6" t="n"/>
      <c r="J40" s="6" t="n"/>
      <c r="K40" s="6" t="n"/>
      <c r="L40" s="6" t="n"/>
      <c r="M40" s="6" t="n"/>
      <c r="N40" s="6" t="n"/>
      <c r="O40" s="6" t="n"/>
      <c r="P40" s="6" t="n"/>
      <c r="Q40" s="7">
        <f>COUNTIFS('🎨 Creatives'!$B$4:$B$53,B40,'🎨 Creatives'!$E$4:$E$53,"&lt;&gt;")+COUNTIFS('🌐 Landing Pages'!$B$4:$B$53,B40,'🌐 Landing Pages'!$E$4:$E$53,"&lt;&gt;")+COUNTIFS('✍ Content Writing'!$B$4:$B$53,B40,'✍ Content Writing'!$E$4:$E$53,"&lt;&gt;")+COUNTIFS('🎁 Lead Magnets'!$B$4:$B$53,B40,'🎁 Lead Magnets'!$E$4:$E$53,"&lt;&gt;")+COUNTIFS('📧 Email Sequences'!$B$4:$B$53,B40,'📧 Email Sequences'!$E$4:$E$53,"&lt;&gt;")+COUNTIFS('📣 Ad Copy'!$B$4:$B$53,B40,'📣 Ad Copy'!$E$4:$E$53,"&lt;&gt;")+COUNTIFS('🔍 SEO'!$B$4:$B$53,B40,'🔍 SEO'!$E$4:$E$53,"&lt;&gt;")+COUNTIFS('🎤 Webinars &amp; Events'!$B$4:$B$53,B40,'🎤 Webinars &amp; Events'!$E$4:$E$53,"&lt;&gt;")</f>
        <v/>
      </c>
      <c r="R40" s="6" t="n"/>
    </row>
    <row r="41" ht="22" customHeight="1">
      <c r="A41" s="8" t="n">
        <v>38</v>
      </c>
      <c r="B41" s="9">
        <f>IF(C41="","","CAMP-"&amp;TEXT(38,"000"))</f>
        <v/>
      </c>
      <c r="C41" s="10" t="n"/>
      <c r="D41" s="10" t="n"/>
      <c r="E41" s="10" t="n"/>
      <c r="F41" s="10" t="n"/>
      <c r="G41" s="10" t="n"/>
      <c r="H41" s="10" t="n"/>
      <c r="I41" s="10" t="n"/>
      <c r="J41" s="10" t="n"/>
      <c r="K41" s="10" t="n"/>
      <c r="L41" s="10" t="n"/>
      <c r="M41" s="10" t="n"/>
      <c r="N41" s="10" t="n"/>
      <c r="O41" s="10" t="n"/>
      <c r="P41" s="10" t="n"/>
      <c r="Q41" s="11">
        <f>COUNTIFS('🎨 Creatives'!$B$4:$B$53,B41,'🎨 Creatives'!$E$4:$E$53,"&lt;&gt;")+COUNTIFS('🌐 Landing Pages'!$B$4:$B$53,B41,'🌐 Landing Pages'!$E$4:$E$53,"&lt;&gt;")+COUNTIFS('✍ Content Writing'!$B$4:$B$53,B41,'✍ Content Writing'!$E$4:$E$53,"&lt;&gt;")+COUNTIFS('🎁 Lead Magnets'!$B$4:$B$53,B41,'🎁 Lead Magnets'!$E$4:$E$53,"&lt;&gt;")+COUNTIFS('📧 Email Sequences'!$B$4:$B$53,B41,'📧 Email Sequences'!$E$4:$E$53,"&lt;&gt;")+COUNTIFS('📣 Ad Copy'!$B$4:$B$53,B41,'📣 Ad Copy'!$E$4:$E$53,"&lt;&gt;")+COUNTIFS('🔍 SEO'!$B$4:$B$53,B41,'🔍 SEO'!$E$4:$E$53,"&lt;&gt;")+COUNTIFS('🎤 Webinars &amp; Events'!$B$4:$B$53,B41,'🎤 Webinars &amp; Events'!$E$4:$E$53,"&lt;&gt;")</f>
        <v/>
      </c>
      <c r="R41" s="10" t="n"/>
    </row>
    <row r="42" ht="22" customHeight="1">
      <c r="A42" s="4" t="n">
        <v>39</v>
      </c>
      <c r="B42" s="5">
        <f>IF(C42="","","CAMP-"&amp;TEXT(39,"000"))</f>
        <v/>
      </c>
      <c r="C42" s="6" t="n"/>
      <c r="D42" s="6" t="n"/>
      <c r="E42" s="6" t="n"/>
      <c r="F42" s="6" t="n"/>
      <c r="G42" s="6" t="n"/>
      <c r="H42" s="6" t="n"/>
      <c r="I42" s="6" t="n"/>
      <c r="J42" s="6" t="n"/>
      <c r="K42" s="6" t="n"/>
      <c r="L42" s="6" t="n"/>
      <c r="M42" s="6" t="n"/>
      <c r="N42" s="6" t="n"/>
      <c r="O42" s="6" t="n"/>
      <c r="P42" s="6" t="n"/>
      <c r="Q42" s="7">
        <f>COUNTIFS('🎨 Creatives'!$B$4:$B$53,B42,'🎨 Creatives'!$E$4:$E$53,"&lt;&gt;")+COUNTIFS('🌐 Landing Pages'!$B$4:$B$53,B42,'🌐 Landing Pages'!$E$4:$E$53,"&lt;&gt;")+COUNTIFS('✍ Content Writing'!$B$4:$B$53,B42,'✍ Content Writing'!$E$4:$E$53,"&lt;&gt;")+COUNTIFS('🎁 Lead Magnets'!$B$4:$B$53,B42,'🎁 Lead Magnets'!$E$4:$E$53,"&lt;&gt;")+COUNTIFS('📧 Email Sequences'!$B$4:$B$53,B42,'📧 Email Sequences'!$E$4:$E$53,"&lt;&gt;")+COUNTIFS('📣 Ad Copy'!$B$4:$B$53,B42,'📣 Ad Copy'!$E$4:$E$53,"&lt;&gt;")+COUNTIFS('🔍 SEO'!$B$4:$B$53,B42,'🔍 SEO'!$E$4:$E$53,"&lt;&gt;")+COUNTIFS('🎤 Webinars &amp; Events'!$B$4:$B$53,B42,'🎤 Webinars &amp; Events'!$E$4:$E$53,"&lt;&gt;")</f>
        <v/>
      </c>
      <c r="R42" s="6" t="n"/>
    </row>
    <row r="43" ht="22" customHeight="1">
      <c r="A43" s="8" t="n">
        <v>40</v>
      </c>
      <c r="B43" s="9">
        <f>IF(C43="","","CAMP-"&amp;TEXT(40,"000"))</f>
        <v/>
      </c>
      <c r="C43" s="10" t="n"/>
      <c r="D43" s="10" t="n"/>
      <c r="E43" s="10" t="n"/>
      <c r="F43" s="10" t="n"/>
      <c r="G43" s="10" t="n"/>
      <c r="H43" s="10" t="n"/>
      <c r="I43" s="10" t="n"/>
      <c r="J43" s="10" t="n"/>
      <c r="K43" s="10" t="n"/>
      <c r="L43" s="10" t="n"/>
      <c r="M43" s="10" t="n"/>
      <c r="N43" s="10" t="n"/>
      <c r="O43" s="10" t="n"/>
      <c r="P43" s="10" t="n"/>
      <c r="Q43" s="11">
        <f>COUNTIFS('🎨 Creatives'!$B$4:$B$53,B43,'🎨 Creatives'!$E$4:$E$53,"&lt;&gt;")+COUNTIFS('🌐 Landing Pages'!$B$4:$B$53,B43,'🌐 Landing Pages'!$E$4:$E$53,"&lt;&gt;")+COUNTIFS('✍ Content Writing'!$B$4:$B$53,B43,'✍ Content Writing'!$E$4:$E$53,"&lt;&gt;")+COUNTIFS('🎁 Lead Magnets'!$B$4:$B$53,B43,'🎁 Lead Magnets'!$E$4:$E$53,"&lt;&gt;")+COUNTIFS('📧 Email Sequences'!$B$4:$B$53,B43,'📧 Email Sequences'!$E$4:$E$53,"&lt;&gt;")+COUNTIFS('📣 Ad Copy'!$B$4:$B$53,B43,'📣 Ad Copy'!$E$4:$E$53,"&lt;&gt;")+COUNTIFS('🔍 SEO'!$B$4:$B$53,B43,'🔍 SEO'!$E$4:$E$53,"&lt;&gt;")+COUNTIFS('🎤 Webinars &amp; Events'!$B$4:$B$53,B43,'🎤 Webinars &amp; Events'!$E$4:$E$53,"&lt;&gt;")</f>
        <v/>
      </c>
      <c r="R43" s="10" t="n"/>
    </row>
    <row r="44" ht="22" customHeight="1">
      <c r="A44" s="4" t="n">
        <v>41</v>
      </c>
      <c r="B44" s="5">
        <f>IF(C44="","","CAMP-"&amp;TEXT(41,"000"))</f>
        <v/>
      </c>
      <c r="C44" s="6" t="n"/>
      <c r="D44" s="6" t="n"/>
      <c r="E44" s="6" t="n"/>
      <c r="F44" s="6" t="n"/>
      <c r="G44" s="6" t="n"/>
      <c r="H44" s="6" t="n"/>
      <c r="I44" s="6" t="n"/>
      <c r="J44" s="6" t="n"/>
      <c r="K44" s="6" t="n"/>
      <c r="L44" s="6" t="n"/>
      <c r="M44" s="6" t="n"/>
      <c r="N44" s="6" t="n"/>
      <c r="O44" s="6" t="n"/>
      <c r="P44" s="6" t="n"/>
      <c r="Q44" s="7">
        <f>COUNTIFS('🎨 Creatives'!$B$4:$B$53,B44,'🎨 Creatives'!$E$4:$E$53,"&lt;&gt;")+COUNTIFS('🌐 Landing Pages'!$B$4:$B$53,B44,'🌐 Landing Pages'!$E$4:$E$53,"&lt;&gt;")+COUNTIFS('✍ Content Writing'!$B$4:$B$53,B44,'✍ Content Writing'!$E$4:$E$53,"&lt;&gt;")+COUNTIFS('🎁 Lead Magnets'!$B$4:$B$53,B44,'🎁 Lead Magnets'!$E$4:$E$53,"&lt;&gt;")+COUNTIFS('📧 Email Sequences'!$B$4:$B$53,B44,'📧 Email Sequences'!$E$4:$E$53,"&lt;&gt;")+COUNTIFS('📣 Ad Copy'!$B$4:$B$53,B44,'📣 Ad Copy'!$E$4:$E$53,"&lt;&gt;")+COUNTIFS('🔍 SEO'!$B$4:$B$53,B44,'🔍 SEO'!$E$4:$E$53,"&lt;&gt;")+COUNTIFS('🎤 Webinars &amp; Events'!$B$4:$B$53,B44,'🎤 Webinars &amp; Events'!$E$4:$E$53,"&lt;&gt;")</f>
        <v/>
      </c>
      <c r="R44" s="6" t="n"/>
    </row>
    <row r="45" ht="22" customHeight="1">
      <c r="A45" s="8" t="n">
        <v>42</v>
      </c>
      <c r="B45" s="9">
        <f>IF(C45="","","CAMP-"&amp;TEXT(42,"000"))</f>
        <v/>
      </c>
      <c r="C45" s="10" t="n"/>
      <c r="D45" s="10" t="n"/>
      <c r="E45" s="10" t="n"/>
      <c r="F45" s="10" t="n"/>
      <c r="G45" s="10" t="n"/>
      <c r="H45" s="10" t="n"/>
      <c r="I45" s="10" t="n"/>
      <c r="J45" s="10" t="n"/>
      <c r="K45" s="10" t="n"/>
      <c r="L45" s="10" t="n"/>
      <c r="M45" s="10" t="n"/>
      <c r="N45" s="10" t="n"/>
      <c r="O45" s="10" t="n"/>
      <c r="P45" s="10" t="n"/>
      <c r="Q45" s="11">
        <f>COUNTIFS('🎨 Creatives'!$B$4:$B$53,B45,'🎨 Creatives'!$E$4:$E$53,"&lt;&gt;")+COUNTIFS('🌐 Landing Pages'!$B$4:$B$53,B45,'🌐 Landing Pages'!$E$4:$E$53,"&lt;&gt;")+COUNTIFS('✍ Content Writing'!$B$4:$B$53,B45,'✍ Content Writing'!$E$4:$E$53,"&lt;&gt;")+COUNTIFS('🎁 Lead Magnets'!$B$4:$B$53,B45,'🎁 Lead Magnets'!$E$4:$E$53,"&lt;&gt;")+COUNTIFS('📧 Email Sequences'!$B$4:$B$53,B45,'📧 Email Sequences'!$E$4:$E$53,"&lt;&gt;")+COUNTIFS('📣 Ad Copy'!$B$4:$B$53,B45,'📣 Ad Copy'!$E$4:$E$53,"&lt;&gt;")+COUNTIFS('🔍 SEO'!$B$4:$B$53,B45,'🔍 SEO'!$E$4:$E$53,"&lt;&gt;")+COUNTIFS('🎤 Webinars &amp; Events'!$B$4:$B$53,B45,'🎤 Webinars &amp; Events'!$E$4:$E$53,"&lt;&gt;")</f>
        <v/>
      </c>
      <c r="R45" s="10" t="n"/>
    </row>
    <row r="46" ht="22" customHeight="1">
      <c r="A46" s="4" t="n">
        <v>43</v>
      </c>
      <c r="B46" s="5">
        <f>IF(C46="","","CAMP-"&amp;TEXT(43,"000"))</f>
        <v/>
      </c>
      <c r="C46" s="6" t="n"/>
      <c r="D46" s="6" t="n"/>
      <c r="E46" s="6" t="n"/>
      <c r="F46" s="6" t="n"/>
      <c r="G46" s="6" t="n"/>
      <c r="H46" s="6" t="n"/>
      <c r="I46" s="6" t="n"/>
      <c r="J46" s="6" t="n"/>
      <c r="K46" s="6" t="n"/>
      <c r="L46" s="6" t="n"/>
      <c r="M46" s="6" t="n"/>
      <c r="N46" s="6" t="n"/>
      <c r="O46" s="6" t="n"/>
      <c r="P46" s="6" t="n"/>
      <c r="Q46" s="7">
        <f>COUNTIFS('🎨 Creatives'!$B$4:$B$53,B46,'🎨 Creatives'!$E$4:$E$53,"&lt;&gt;")+COUNTIFS('🌐 Landing Pages'!$B$4:$B$53,B46,'🌐 Landing Pages'!$E$4:$E$53,"&lt;&gt;")+COUNTIFS('✍ Content Writing'!$B$4:$B$53,B46,'✍ Content Writing'!$E$4:$E$53,"&lt;&gt;")+COUNTIFS('🎁 Lead Magnets'!$B$4:$B$53,B46,'🎁 Lead Magnets'!$E$4:$E$53,"&lt;&gt;")+COUNTIFS('📧 Email Sequences'!$B$4:$B$53,B46,'📧 Email Sequences'!$E$4:$E$53,"&lt;&gt;")+COUNTIFS('📣 Ad Copy'!$B$4:$B$53,B46,'📣 Ad Copy'!$E$4:$E$53,"&lt;&gt;")+COUNTIFS('🔍 SEO'!$B$4:$B$53,B46,'🔍 SEO'!$E$4:$E$53,"&lt;&gt;")+COUNTIFS('🎤 Webinars &amp; Events'!$B$4:$B$53,B46,'🎤 Webinars &amp; Events'!$E$4:$E$53,"&lt;&gt;")</f>
        <v/>
      </c>
      <c r="R46" s="6" t="n"/>
    </row>
    <row r="47" ht="22" customHeight="1">
      <c r="A47" s="8" t="n">
        <v>44</v>
      </c>
      <c r="B47" s="9">
        <f>IF(C47="","","CAMP-"&amp;TEXT(44,"000"))</f>
        <v/>
      </c>
      <c r="C47" s="10" t="n"/>
      <c r="D47" s="10" t="n"/>
      <c r="E47" s="10" t="n"/>
      <c r="F47" s="10" t="n"/>
      <c r="G47" s="10" t="n"/>
      <c r="H47" s="10" t="n"/>
      <c r="I47" s="10" t="n"/>
      <c r="J47" s="10" t="n"/>
      <c r="K47" s="10" t="n"/>
      <c r="L47" s="10" t="n"/>
      <c r="M47" s="10" t="n"/>
      <c r="N47" s="10" t="n"/>
      <c r="O47" s="10" t="n"/>
      <c r="P47" s="10" t="n"/>
      <c r="Q47" s="11">
        <f>COUNTIFS('🎨 Creatives'!$B$4:$B$53,B47,'🎨 Creatives'!$E$4:$E$53,"&lt;&gt;")+COUNTIFS('🌐 Landing Pages'!$B$4:$B$53,B47,'🌐 Landing Pages'!$E$4:$E$53,"&lt;&gt;")+COUNTIFS('✍ Content Writing'!$B$4:$B$53,B47,'✍ Content Writing'!$E$4:$E$53,"&lt;&gt;")+COUNTIFS('🎁 Lead Magnets'!$B$4:$B$53,B47,'🎁 Lead Magnets'!$E$4:$E$53,"&lt;&gt;")+COUNTIFS('📧 Email Sequences'!$B$4:$B$53,B47,'📧 Email Sequences'!$E$4:$E$53,"&lt;&gt;")+COUNTIFS('📣 Ad Copy'!$B$4:$B$53,B47,'📣 Ad Copy'!$E$4:$E$53,"&lt;&gt;")+COUNTIFS('🔍 SEO'!$B$4:$B$53,B47,'🔍 SEO'!$E$4:$E$53,"&lt;&gt;")+COUNTIFS('🎤 Webinars &amp; Events'!$B$4:$B$53,B47,'🎤 Webinars &amp; Events'!$E$4:$E$53,"&lt;&gt;")</f>
        <v/>
      </c>
      <c r="R47" s="10" t="n"/>
    </row>
    <row r="48" ht="22" customHeight="1">
      <c r="A48" s="4" t="n">
        <v>45</v>
      </c>
      <c r="B48" s="5">
        <f>IF(C48="","","CAMP-"&amp;TEXT(45,"000"))</f>
        <v/>
      </c>
      <c r="C48" s="6" t="n"/>
      <c r="D48" s="6" t="n"/>
      <c r="E48" s="6" t="n"/>
      <c r="F48" s="6" t="n"/>
      <c r="G48" s="6" t="n"/>
      <c r="H48" s="6" t="n"/>
      <c r="I48" s="6" t="n"/>
      <c r="J48" s="6" t="n"/>
      <c r="K48" s="6" t="n"/>
      <c r="L48" s="6" t="n"/>
      <c r="M48" s="6" t="n"/>
      <c r="N48" s="6" t="n"/>
      <c r="O48" s="6" t="n"/>
      <c r="P48" s="6" t="n"/>
      <c r="Q48" s="7">
        <f>COUNTIFS('🎨 Creatives'!$B$4:$B$53,B48,'🎨 Creatives'!$E$4:$E$53,"&lt;&gt;")+COUNTIFS('🌐 Landing Pages'!$B$4:$B$53,B48,'🌐 Landing Pages'!$E$4:$E$53,"&lt;&gt;")+COUNTIFS('✍ Content Writing'!$B$4:$B$53,B48,'✍ Content Writing'!$E$4:$E$53,"&lt;&gt;")+COUNTIFS('🎁 Lead Magnets'!$B$4:$B$53,B48,'🎁 Lead Magnets'!$E$4:$E$53,"&lt;&gt;")+COUNTIFS('📧 Email Sequences'!$B$4:$B$53,B48,'📧 Email Sequences'!$E$4:$E$53,"&lt;&gt;")+COUNTIFS('📣 Ad Copy'!$B$4:$B$53,B48,'📣 Ad Copy'!$E$4:$E$53,"&lt;&gt;")+COUNTIFS('🔍 SEO'!$B$4:$B$53,B48,'🔍 SEO'!$E$4:$E$53,"&lt;&gt;")+COUNTIFS('🎤 Webinars &amp; Events'!$B$4:$B$53,B48,'🎤 Webinars &amp; Events'!$E$4:$E$53,"&lt;&gt;")</f>
        <v/>
      </c>
      <c r="R48" s="6" t="n"/>
    </row>
    <row r="49" ht="22" customHeight="1">
      <c r="A49" s="8" t="n">
        <v>46</v>
      </c>
      <c r="B49" s="9">
        <f>IF(C49="","","CAMP-"&amp;TEXT(46,"000"))</f>
        <v/>
      </c>
      <c r="C49" s="10" t="n"/>
      <c r="D49" s="10" t="n"/>
      <c r="E49" s="10" t="n"/>
      <c r="F49" s="10" t="n"/>
      <c r="G49" s="10" t="n"/>
      <c r="H49" s="10" t="n"/>
      <c r="I49" s="10" t="n"/>
      <c r="J49" s="10" t="n"/>
      <c r="K49" s="10" t="n"/>
      <c r="L49" s="10" t="n"/>
      <c r="M49" s="10" t="n"/>
      <c r="N49" s="10" t="n"/>
      <c r="O49" s="10" t="n"/>
      <c r="P49" s="10" t="n"/>
      <c r="Q49" s="11">
        <f>COUNTIFS('🎨 Creatives'!$B$4:$B$53,B49,'🎨 Creatives'!$E$4:$E$53,"&lt;&gt;")+COUNTIFS('🌐 Landing Pages'!$B$4:$B$53,B49,'🌐 Landing Pages'!$E$4:$E$53,"&lt;&gt;")+COUNTIFS('✍ Content Writing'!$B$4:$B$53,B49,'✍ Content Writing'!$E$4:$E$53,"&lt;&gt;")+COUNTIFS('🎁 Lead Magnets'!$B$4:$B$53,B49,'🎁 Lead Magnets'!$E$4:$E$53,"&lt;&gt;")+COUNTIFS('📧 Email Sequences'!$B$4:$B$53,B49,'📧 Email Sequences'!$E$4:$E$53,"&lt;&gt;")+COUNTIFS('📣 Ad Copy'!$B$4:$B$53,B49,'📣 Ad Copy'!$E$4:$E$53,"&lt;&gt;")+COUNTIFS('🔍 SEO'!$B$4:$B$53,B49,'🔍 SEO'!$E$4:$E$53,"&lt;&gt;")+COUNTIFS('🎤 Webinars &amp; Events'!$B$4:$B$53,B49,'🎤 Webinars &amp; Events'!$E$4:$E$53,"&lt;&gt;")</f>
        <v/>
      </c>
      <c r="R49" s="10" t="n"/>
    </row>
    <row r="50" ht="22" customHeight="1">
      <c r="A50" s="4" t="n">
        <v>47</v>
      </c>
      <c r="B50" s="5">
        <f>IF(C50="","","CAMP-"&amp;TEXT(47,"000"))</f>
        <v/>
      </c>
      <c r="C50" s="6" t="n"/>
      <c r="D50" s="6" t="n"/>
      <c r="E50" s="6" t="n"/>
      <c r="F50" s="6" t="n"/>
      <c r="G50" s="6" t="n"/>
      <c r="H50" s="6" t="n"/>
      <c r="I50" s="6" t="n"/>
      <c r="J50" s="6" t="n"/>
      <c r="K50" s="6" t="n"/>
      <c r="L50" s="6" t="n"/>
      <c r="M50" s="6" t="n"/>
      <c r="N50" s="6" t="n"/>
      <c r="O50" s="6" t="n"/>
      <c r="P50" s="6" t="n"/>
      <c r="Q50" s="7">
        <f>COUNTIFS('🎨 Creatives'!$B$4:$B$53,B50,'🎨 Creatives'!$E$4:$E$53,"&lt;&gt;")+COUNTIFS('🌐 Landing Pages'!$B$4:$B$53,B50,'🌐 Landing Pages'!$E$4:$E$53,"&lt;&gt;")+COUNTIFS('✍ Content Writing'!$B$4:$B$53,B50,'✍ Content Writing'!$E$4:$E$53,"&lt;&gt;")+COUNTIFS('🎁 Lead Magnets'!$B$4:$B$53,B50,'🎁 Lead Magnets'!$E$4:$E$53,"&lt;&gt;")+COUNTIFS('📧 Email Sequences'!$B$4:$B$53,B50,'📧 Email Sequences'!$E$4:$E$53,"&lt;&gt;")+COUNTIFS('📣 Ad Copy'!$B$4:$B$53,B50,'📣 Ad Copy'!$E$4:$E$53,"&lt;&gt;")+COUNTIFS('🔍 SEO'!$B$4:$B$53,B50,'🔍 SEO'!$E$4:$E$53,"&lt;&gt;")+COUNTIFS('🎤 Webinars &amp; Events'!$B$4:$B$53,B50,'🎤 Webinars &amp; Events'!$E$4:$E$53,"&lt;&gt;")</f>
        <v/>
      </c>
      <c r="R50" s="6" t="n"/>
    </row>
    <row r="51" ht="22" customHeight="1">
      <c r="A51" s="8" t="n">
        <v>48</v>
      </c>
      <c r="B51" s="9">
        <f>IF(C51="","","CAMP-"&amp;TEXT(48,"000"))</f>
        <v/>
      </c>
      <c r="C51" s="10" t="n"/>
      <c r="D51" s="10" t="n"/>
      <c r="E51" s="10" t="n"/>
      <c r="F51" s="10" t="n"/>
      <c r="G51" s="10" t="n"/>
      <c r="H51" s="10" t="n"/>
      <c r="I51" s="10" t="n"/>
      <c r="J51" s="10" t="n"/>
      <c r="K51" s="10" t="n"/>
      <c r="L51" s="10" t="n"/>
      <c r="M51" s="10" t="n"/>
      <c r="N51" s="10" t="n"/>
      <c r="O51" s="10" t="n"/>
      <c r="P51" s="10" t="n"/>
      <c r="Q51" s="11">
        <f>COUNTIFS('🎨 Creatives'!$B$4:$B$53,B51,'🎨 Creatives'!$E$4:$E$53,"&lt;&gt;")+COUNTIFS('🌐 Landing Pages'!$B$4:$B$53,B51,'🌐 Landing Pages'!$E$4:$E$53,"&lt;&gt;")+COUNTIFS('✍ Content Writing'!$B$4:$B$53,B51,'✍ Content Writing'!$E$4:$E$53,"&lt;&gt;")+COUNTIFS('🎁 Lead Magnets'!$B$4:$B$53,B51,'🎁 Lead Magnets'!$E$4:$E$53,"&lt;&gt;")+COUNTIFS('📧 Email Sequences'!$B$4:$B$53,B51,'📧 Email Sequences'!$E$4:$E$53,"&lt;&gt;")+COUNTIFS('📣 Ad Copy'!$B$4:$B$53,B51,'📣 Ad Copy'!$E$4:$E$53,"&lt;&gt;")+COUNTIFS('🔍 SEO'!$B$4:$B$53,B51,'🔍 SEO'!$E$4:$E$53,"&lt;&gt;")+COUNTIFS('🎤 Webinars &amp; Events'!$B$4:$B$53,B51,'🎤 Webinars &amp; Events'!$E$4:$E$53,"&lt;&gt;")</f>
        <v/>
      </c>
      <c r="R51" s="10" t="n"/>
    </row>
    <row r="52" ht="22" customHeight="1">
      <c r="A52" s="4" t="n">
        <v>49</v>
      </c>
      <c r="B52" s="5">
        <f>IF(C52="","","CAMP-"&amp;TEXT(49,"000"))</f>
        <v/>
      </c>
      <c r="C52" s="6" t="n"/>
      <c r="D52" s="6" t="n"/>
      <c r="E52" s="6" t="n"/>
      <c r="F52" s="6" t="n"/>
      <c r="G52" s="6" t="n"/>
      <c r="H52" s="6" t="n"/>
      <c r="I52" s="6" t="n"/>
      <c r="J52" s="6" t="n"/>
      <c r="K52" s="6" t="n"/>
      <c r="L52" s="6" t="n"/>
      <c r="M52" s="6" t="n"/>
      <c r="N52" s="6" t="n"/>
      <c r="O52" s="6" t="n"/>
      <c r="P52" s="6" t="n"/>
      <c r="Q52" s="7">
        <f>COUNTIFS('🎨 Creatives'!$B$4:$B$53,B52,'🎨 Creatives'!$E$4:$E$53,"&lt;&gt;")+COUNTIFS('🌐 Landing Pages'!$B$4:$B$53,B52,'🌐 Landing Pages'!$E$4:$E$53,"&lt;&gt;")+COUNTIFS('✍ Content Writing'!$B$4:$B$53,B52,'✍ Content Writing'!$E$4:$E$53,"&lt;&gt;")+COUNTIFS('🎁 Lead Magnets'!$B$4:$B$53,B52,'🎁 Lead Magnets'!$E$4:$E$53,"&lt;&gt;")+COUNTIFS('📧 Email Sequences'!$B$4:$B$53,B52,'📧 Email Sequences'!$E$4:$E$53,"&lt;&gt;")+COUNTIFS('📣 Ad Copy'!$B$4:$B$53,B52,'📣 Ad Copy'!$E$4:$E$53,"&lt;&gt;")+COUNTIFS('🔍 SEO'!$B$4:$B$53,B52,'🔍 SEO'!$E$4:$E$53,"&lt;&gt;")+COUNTIFS('🎤 Webinars &amp; Events'!$B$4:$B$53,B52,'🎤 Webinars &amp; Events'!$E$4:$E$53,"&lt;&gt;")</f>
        <v/>
      </c>
      <c r="R52" s="6" t="n"/>
    </row>
    <row r="53" ht="22" customHeight="1">
      <c r="A53" s="8" t="n">
        <v>50</v>
      </c>
      <c r="B53" s="9">
        <f>IF(C53="","","CAMP-"&amp;TEXT(50,"000"))</f>
        <v/>
      </c>
      <c r="C53" s="10" t="n"/>
      <c r="D53" s="10" t="n"/>
      <c r="E53" s="10" t="n"/>
      <c r="F53" s="10" t="n"/>
      <c r="G53" s="10" t="n"/>
      <c r="H53" s="10" t="n"/>
      <c r="I53" s="10" t="n"/>
      <c r="J53" s="10" t="n"/>
      <c r="K53" s="10" t="n"/>
      <c r="L53" s="10" t="n"/>
      <c r="M53" s="10" t="n"/>
      <c r="N53" s="10" t="n"/>
      <c r="O53" s="10" t="n"/>
      <c r="P53" s="10" t="n"/>
      <c r="Q53" s="11">
        <f>COUNTIFS('🎨 Creatives'!$B$4:$B$53,B53,'🎨 Creatives'!$E$4:$E$53,"&lt;&gt;")+COUNTIFS('🌐 Landing Pages'!$B$4:$B$53,B53,'🌐 Landing Pages'!$E$4:$E$53,"&lt;&gt;")+COUNTIFS('✍ Content Writing'!$B$4:$B$53,B53,'✍ Content Writing'!$E$4:$E$53,"&lt;&gt;")+COUNTIFS('🎁 Lead Magnets'!$B$4:$B$53,B53,'🎁 Lead Magnets'!$E$4:$E$53,"&lt;&gt;")+COUNTIFS('📧 Email Sequences'!$B$4:$B$53,B53,'📧 Email Sequences'!$E$4:$E$53,"&lt;&gt;")+COUNTIFS('📣 Ad Copy'!$B$4:$B$53,B53,'📣 Ad Copy'!$E$4:$E$53,"&lt;&gt;")+COUNTIFS('🔍 SEO'!$B$4:$B$53,B53,'🔍 SEO'!$E$4:$E$53,"&lt;&gt;")+COUNTIFS('🎤 Webinars &amp; Events'!$B$4:$B$53,B53,'🎤 Webinars &amp; Events'!$E$4:$E$53,"&lt;&gt;")</f>
        <v/>
      </c>
      <c r="R53" s="10" t="n"/>
    </row>
  </sheetData>
  <mergeCells count="2">
    <mergeCell ref="A2:R2"/>
    <mergeCell ref="A1:R1"/>
  </mergeCells>
  <conditionalFormatting sqref="N4:N53">
    <cfRule type="containsText" priority="1" operator="containsText" dxfId="0" text="Approved">
      <formula>NOT(ISERROR(SEARCH("Approved",N4)))</formula>
    </cfRule>
    <cfRule type="containsText" priority="2" operator="containsText" dxfId="0" text="Published">
      <formula>NOT(ISERROR(SEARCH("Published",N4)))</formula>
    </cfRule>
    <cfRule type="containsText" priority="3" operator="containsText" dxfId="0" text="Live">
      <formula>NOT(ISERROR(SEARCH("Live",N4)))</formula>
    </cfRule>
    <cfRule type="containsText" priority="4" operator="containsText" dxfId="1" text="Cancelled">
      <formula>NOT(ISERROR(SEARCH("Cancelled",N4)))</formula>
    </cfRule>
    <cfRule type="containsText" priority="5" operator="containsText" dxfId="1" text="Rejected">
      <formula>NOT(ISERROR(SEARCH("Rejected",N4)))</formula>
    </cfRule>
    <cfRule type="containsText" priority="6" operator="containsText" dxfId="2" text="On Hold">
      <formula>NOT(ISERROR(SEARCH("On Hold",N4)))</formula>
    </cfRule>
    <cfRule type="containsText" priority="7" operator="containsText" dxfId="2" text="Revision">
      <formula>NOT(ISERROR(SEARCH("Revision",N4)))</formula>
    </cfRule>
    <cfRule type="containsText" priority="8" operator="containsText" dxfId="2" text="Changes">
      <formula>NOT(ISERROR(SEARCH("Changes",N4)))</formula>
    </cfRule>
  </conditionalFormatting>
  <conditionalFormatting sqref="O4:O53">
    <cfRule type="containsText" priority="9" operator="containsText" dxfId="0" text="Approved">
      <formula>NOT(ISERROR(SEARCH("Approved",O4)))</formula>
    </cfRule>
    <cfRule type="containsText" priority="10" operator="containsText" dxfId="1" text="Rejected">
      <formula>NOT(ISERROR(SEARCH("Rejected",O4)))</formula>
    </cfRule>
    <cfRule type="containsText" priority="11" operator="containsText" dxfId="2" text="Changes">
      <formula>NOT(ISERROR(SEARCH("Changes",O4)))</formula>
    </cfRule>
  </conditionalFormatting>
  <conditionalFormatting sqref="P4:P53">
    <cfRule type="containsText" priority="12" operator="containsText" dxfId="0" text="Approved">
      <formula>NOT(ISERROR(SEARCH("Approved",P4)))</formula>
    </cfRule>
    <cfRule type="containsText" priority="13" operator="containsText" dxfId="1" text="Rejected">
      <formula>NOT(ISERROR(SEARCH("Rejected",P4)))</formula>
    </cfRule>
    <cfRule type="containsText" priority="14" operator="containsText" dxfId="2" text="Changes">
      <formula>NOT(ISERROR(SEARCH("Changes",P4)))</formula>
    </cfRule>
  </conditionalFormatting>
  <dataValidations count="9">
    <dataValidation sqref="D4:D53" showDropDown="0" showInputMessage="1" showErrorMessage="1" allowBlank="1" errorTitle="Invalid" error="Select from list." promptTitle="Vertical" prompt="Select the business vertical." type="list">
      <formula1>"Digital Transformation,Industrial Goods &amp; Consumer Products,Structural Engineering,MedTech,Energy &amp; Utilities,Sustainability,BFSI,Product Innovation,SolidPro AI,Other"</formula1>
    </dataValidation>
    <dataValidation sqref="H4:H53" showDropDown="0" showInputMessage="1" showErrorMessage="1" allowBlank="1" errorTitle="Invalid" error="Select from list." promptTitle="Campaign Type" prompt="Select type." type="list">
      <formula1>"Brand Awareness,Lead Generation,Demand Generation,Product Launch,Event Promotion,Thought Leadership,Nurture / Retention,Other"</formula1>
    </dataValidation>
    <dataValidation sqref="L4:L53" showDropDown="0" showInputMessage="1" showErrorMessage="1" allowBlank="1" errorTitle="Invalid" error="Select from list." promptTitle="Priority" prompt="Set urgency level." type="list">
      <formula1>"🔴 Critical,🟠 High,🟡 Medium,🟢 Low"</formula1>
    </dataValidation>
    <dataValidation sqref="N4:N53" showDropDown="0" showInputMessage="1" showErrorMessage="1" allowBlank="1" errorTitle="Invalid" error="Select from list." promptTitle="Campaign Status" prompt="Current campaign status." type="list">
      <formula1>"🗓 Planning,🚀 Active,✅ Completed,⏸ Paused,❌ Cancelled"</formula1>
    </dataValidation>
    <dataValidation sqref="O4:O53" showDropDown="0" showInputMessage="1" showErrorMessage="1" allowBlank="1" errorTitle="Invalid" error="Select from list." promptTitle="Project Head Approval" prompt="Approval from Project Head." type="list">
      <formula1>"⏳ Pending,✅ Approved,🔁 Changes Requested,❌ Rejected"</formula1>
    </dataValidation>
    <dataValidation sqref="P4:P53" showDropDown="0" showInputMessage="1" showErrorMessage="1" allowBlank="1" errorTitle="Invalid" error="Select from list." promptTitle="Manager Approval" prompt="Approval from Manager." type="list">
      <formula1>"⏳ Pending,✅ Approved,🔁 Changes Requested,❌ Rejected"</formula1>
    </dataValidation>
    <dataValidation sqref="I4:I53" showDropDown="0" showInputMessage="1" showErrorMessage="1" allowBlank="1" errorTitle="Invalid Date" error="Enter a valid date." promptTitle="Enter Date" prompt="Format: DD-MM-YYYY" type="date" operator="greaterThan">
      <formula1>DATE(2024,1,1)</formula1>
    </dataValidation>
    <dataValidation sqref="J4:J53" showDropDown="0" showInputMessage="1" showErrorMessage="1" allowBlank="1" errorTitle="Invalid Date" error="Enter a valid date." promptTitle="Enter Date" prompt="Format: DD-MM-YYYY" type="date" operator="greaterThan">
      <formula1>DATE(2024,1,1)</formula1>
    </dataValidation>
    <dataValidation sqref="K4:K53" showDropDown="0" showInputMessage="1" showErrorMessage="1" allowBlank="1" errorTitle="Invalid Date" error="Enter a valid date." promptTitle="Enter Date" prompt="Format: DD-MM-YYYY" type="date" operator="greaterThan">
      <formula1>DATE(2024,1,1)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3"/>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6" customWidth="1" min="2" max="2"/>
    <col width="14" customWidth="1" min="3" max="3"/>
    <col width="22" customWidth="1" min="4" max="4"/>
    <col width="32" customWidth="1" min="5" max="5"/>
    <col width="18" customWidth="1" min="6" max="6"/>
    <col width="18" customWidth="1" min="7" max="7"/>
    <col width="16" customWidth="1" min="8" max="8"/>
    <col width="18" customWidth="1" min="9" max="9"/>
    <col width="26" customWidth="1" min="10" max="10"/>
    <col width="36" customWidth="1" min="11" max="11"/>
    <col width="22" customWidth="1" min="12" max="12"/>
    <col width="20" customWidth="1" min="13" max="13"/>
    <col width="20" customWidth="1" min="14" max="14"/>
    <col width="14" customWidth="1" min="15" max="15"/>
    <col width="14" customWidth="1" min="16" max="16"/>
    <col width="14" customWidth="1" min="17" max="17"/>
    <col width="13" customWidth="1" min="18" max="18"/>
    <col width="26" customWidth="1" min="19" max="19"/>
    <col width="26" customWidth="1" min="20" max="20"/>
    <col width="22" customWidth="1" min="21" max="21"/>
    <col width="30" customWidth="1" min="22" max="22"/>
    <col width="12" customWidth="1" min="23" max="23"/>
    <col width="36" customWidth="1" min="24" max="24"/>
    <col width="12" customWidth="1" min="25" max="25"/>
  </cols>
  <sheetData>
    <row r="1" ht="34" customHeight="1">
      <c r="A1" s="12" t="inlineStr">
        <is>
          <t>SolidPro — Creatives Tracker (Graphic Design &amp; Video)</t>
        </is>
      </c>
    </row>
    <row r="2" ht="16" customHeight="1">
      <c r="A2" s="2" t="inlineStr">
        <is>
          <t>Link each row to a Campaign ID from the Campaign Master sheet  |  * = Mandatory</t>
        </is>
      </c>
    </row>
    <row r="3" ht="30" customHeight="1">
      <c r="A3" s="13" t="inlineStr">
        <is>
          <t>S.No</t>
        </is>
      </c>
      <c r="B3" s="13" t="inlineStr">
        <is>
          <t>Campaign ID *</t>
        </is>
      </c>
      <c r="C3" s="13" t="inlineStr">
        <is>
          <t>Asset ID</t>
        </is>
      </c>
      <c r="D3" s="13" t="inlineStr">
        <is>
          <t>Vertical *</t>
        </is>
      </c>
      <c r="E3" s="13" t="inlineStr">
        <is>
          <t>Asset Name / Title *</t>
        </is>
      </c>
      <c r="F3" s="13" t="inlineStr">
        <is>
          <t>Content Type</t>
        </is>
      </c>
      <c r="G3" s="13" t="inlineStr">
        <is>
          <t>Asset Type</t>
        </is>
      </c>
      <c r="H3" s="13" t="inlineStr">
        <is>
          <t>Format / Size</t>
        </is>
      </c>
      <c r="I3" s="13" t="inlineStr">
        <is>
          <t>Platform</t>
        </is>
      </c>
      <c r="J3" s="13" t="inlineStr">
        <is>
          <t>Campaign / Theme</t>
        </is>
      </c>
      <c r="K3" s="13" t="inlineStr">
        <is>
          <t>Brief / Description</t>
        </is>
      </c>
      <c r="L3" s="13" t="inlineStr">
        <is>
          <t>Owner *</t>
        </is>
      </c>
      <c r="M3" s="13" t="inlineStr">
        <is>
          <t>Support</t>
        </is>
      </c>
      <c r="N3" s="13" t="inlineStr">
        <is>
          <t>Requested By</t>
        </is>
      </c>
      <c r="O3" s="13" t="inlineStr">
        <is>
          <t>Brief Date</t>
        </is>
      </c>
      <c r="P3" s="13" t="inlineStr">
        <is>
          <t>Due Date *</t>
        </is>
      </c>
      <c r="Q3" s="13" t="inlineStr">
        <is>
          <t>Pub / Post Date *</t>
        </is>
      </c>
      <c r="R3" s="13" t="inlineStr">
        <is>
          <t>Priority</t>
        </is>
      </c>
      <c r="S3" s="13" t="inlineStr">
        <is>
          <t>Status</t>
        </is>
      </c>
      <c r="T3" s="13" t="inlineStr">
        <is>
          <t>Approved by Project Head</t>
        </is>
      </c>
      <c r="U3" s="13" t="inlineStr">
        <is>
          <t>Approved by Manager</t>
        </is>
      </c>
      <c r="V3" s="13" t="inlineStr">
        <is>
          <t>Final File / URL Link</t>
        </is>
      </c>
      <c r="W3" s="13" t="inlineStr">
        <is>
          <t>Revision #</t>
        </is>
      </c>
      <c r="X3" s="13" t="inlineStr">
        <is>
          <t>Feedback / Notes</t>
        </is>
      </c>
      <c r="Y3" s="13" t="inlineStr">
        <is>
          <t>Archived?</t>
        </is>
      </c>
    </row>
    <row r="4" ht="22" customHeight="1">
      <c r="A4" s="4" t="n">
        <v>1</v>
      </c>
      <c r="B4" s="6" t="n"/>
      <c r="C4" s="7">
        <f>IF(E4="","",UPPER(LEFT(D4,3))&amp;"-"&amp;TEXT(1,"000"))</f>
        <v/>
      </c>
      <c r="D4" s="6" t="n"/>
      <c r="E4" s="6" t="n"/>
      <c r="F4" s="6" t="n"/>
      <c r="G4" s="6" t="n"/>
      <c r="H4" s="6" t="n"/>
      <c r="I4" s="6" t="n"/>
      <c r="J4" s="6" t="n"/>
      <c r="K4" s="6" t="n"/>
      <c r="L4" s="6" t="n"/>
      <c r="M4" s="6" t="n"/>
      <c r="N4" s="6" t="n"/>
      <c r="O4" s="6" t="n"/>
      <c r="P4" s="6" t="n"/>
      <c r="Q4" s="6" t="n"/>
      <c r="R4" s="6" t="n"/>
      <c r="S4" s="6" t="n"/>
      <c r="T4" s="6" t="n"/>
      <c r="U4" s="6" t="n"/>
      <c r="V4" s="6" t="n"/>
      <c r="W4" s="6" t="n"/>
      <c r="X4" s="6" t="n"/>
      <c r="Y4" s="6" t="n"/>
    </row>
    <row r="5" ht="22" customHeight="1">
      <c r="A5" s="8" t="n">
        <v>2</v>
      </c>
      <c r="B5" s="10" t="n"/>
      <c r="C5" s="11">
        <f>IF(E5="","",UPPER(LEFT(D5,3))&amp;"-"&amp;TEXT(2,"000"))</f>
        <v/>
      </c>
      <c r="D5" s="10" t="n"/>
      <c r="E5" s="10" t="n"/>
      <c r="F5" s="10" t="n"/>
      <c r="G5" s="10" t="n"/>
      <c r="H5" s="10" t="n"/>
      <c r="I5" s="10" t="n"/>
      <c r="J5" s="10" t="n"/>
      <c r="K5" s="10" t="n"/>
      <c r="L5" s="10" t="n"/>
      <c r="M5" s="10" t="n"/>
      <c r="N5" s="10" t="n"/>
      <c r="O5" s="10" t="n"/>
      <c r="P5" s="10" t="n"/>
      <c r="Q5" s="10" t="n"/>
      <c r="R5" s="10" t="n"/>
      <c r="S5" s="10" t="n"/>
      <c r="T5" s="10" t="n"/>
      <c r="U5" s="10" t="n"/>
      <c r="V5" s="10" t="n"/>
      <c r="W5" s="10" t="n"/>
      <c r="X5" s="10" t="n"/>
      <c r="Y5" s="10" t="n"/>
    </row>
    <row r="6" ht="22" customHeight="1">
      <c r="A6" s="4" t="n">
        <v>3</v>
      </c>
      <c r="B6" s="6" t="n"/>
      <c r="C6" s="7">
        <f>IF(E6="","",UPPER(LEFT(D6,3))&amp;"-"&amp;TEXT(3,"000"))</f>
        <v/>
      </c>
      <c r="D6" s="6" t="n"/>
      <c r="E6" s="6" t="n"/>
      <c r="F6" s="6" t="n"/>
      <c r="G6" s="6" t="n"/>
      <c r="H6" s="6" t="n"/>
      <c r="I6" s="6" t="n"/>
      <c r="J6" s="6" t="n"/>
      <c r="K6" s="6" t="n"/>
      <c r="L6" s="6" t="n"/>
      <c r="M6" s="6" t="n"/>
      <c r="N6" s="6" t="n"/>
      <c r="O6" s="6" t="n"/>
      <c r="P6" s="6" t="n"/>
      <c r="Q6" s="6" t="n"/>
      <c r="R6" s="6" t="n"/>
      <c r="S6" s="6" t="n"/>
      <c r="T6" s="6" t="n"/>
      <c r="U6" s="6" t="n"/>
      <c r="V6" s="6" t="n"/>
      <c r="W6" s="6" t="n"/>
      <c r="X6" s="6" t="n"/>
      <c r="Y6" s="6" t="n"/>
    </row>
    <row r="7" ht="22" customHeight="1">
      <c r="A7" s="8" t="n">
        <v>4</v>
      </c>
      <c r="B7" s="10" t="n"/>
      <c r="C7" s="11">
        <f>IF(E7="","",UPPER(LEFT(D7,3))&amp;"-"&amp;TEXT(4,"000"))</f>
        <v/>
      </c>
      <c r="D7" s="10" t="n"/>
      <c r="E7" s="10" t="n"/>
      <c r="F7" s="10" t="n"/>
      <c r="G7" s="10" t="n"/>
      <c r="H7" s="10" t="n"/>
      <c r="I7" s="10" t="n"/>
      <c r="J7" s="10" t="n"/>
      <c r="K7" s="10" t="n"/>
      <c r="L7" s="10" t="n"/>
      <c r="M7" s="10" t="n"/>
      <c r="N7" s="10" t="n"/>
      <c r="O7" s="10" t="n"/>
      <c r="P7" s="10" t="n"/>
      <c r="Q7" s="10" t="n"/>
      <c r="R7" s="10" t="n"/>
      <c r="S7" s="10" t="n"/>
      <c r="T7" s="10" t="n"/>
      <c r="U7" s="10" t="n"/>
      <c r="V7" s="10" t="n"/>
      <c r="W7" s="10" t="n"/>
      <c r="X7" s="10" t="n"/>
      <c r="Y7" s="10" t="n"/>
    </row>
    <row r="8" ht="22" customHeight="1">
      <c r="A8" s="4" t="n">
        <v>5</v>
      </c>
      <c r="B8" s="6" t="n"/>
      <c r="C8" s="7">
        <f>IF(E8="","",UPPER(LEFT(D8,3))&amp;"-"&amp;TEXT(5,"000"))</f>
        <v/>
      </c>
      <c r="D8" s="6" t="n"/>
      <c r="E8" s="6" t="n"/>
      <c r="F8" s="6" t="n"/>
      <c r="G8" s="6" t="n"/>
      <c r="H8" s="6" t="n"/>
      <c r="I8" s="6" t="n"/>
      <c r="J8" s="6" t="n"/>
      <c r="K8" s="6" t="n"/>
      <c r="L8" s="6" t="n"/>
      <c r="M8" s="6" t="n"/>
      <c r="N8" s="6" t="n"/>
      <c r="O8" s="6" t="n"/>
      <c r="P8" s="6" t="n"/>
      <c r="Q8" s="6" t="n"/>
      <c r="R8" s="6" t="n"/>
      <c r="S8" s="6" t="n"/>
      <c r="T8" s="6" t="n"/>
      <c r="U8" s="6" t="n"/>
      <c r="V8" s="6" t="n"/>
      <c r="W8" s="6" t="n"/>
      <c r="X8" s="6" t="n"/>
      <c r="Y8" s="6" t="n"/>
    </row>
    <row r="9" ht="22" customHeight="1">
      <c r="A9" s="8" t="n">
        <v>6</v>
      </c>
      <c r="B9" s="10" t="n"/>
      <c r="C9" s="11">
        <f>IF(E9="","",UPPER(LEFT(D9,3))&amp;"-"&amp;TEXT(6,"000"))</f>
        <v/>
      </c>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t="n"/>
    </row>
    <row r="10" ht="22" customHeight="1">
      <c r="A10" s="4" t="n">
        <v>7</v>
      </c>
      <c r="B10" s="6" t="n"/>
      <c r="C10" s="7">
        <f>IF(E10="","",UPPER(LEFT(D10,3))&amp;"-"&amp;TEXT(7,"000"))</f>
        <v/>
      </c>
      <c r="D10" s="6" t="n"/>
      <c r="E10" s="6" t="n"/>
      <c r="F10" s="6" t="n"/>
      <c r="G10" s="6" t="n"/>
      <c r="H10" s="6" t="n"/>
      <c r="I10" s="6" t="n"/>
      <c r="J10" s="6" t="n"/>
      <c r="K10" s="6" t="n"/>
      <c r="L10" s="6" t="n"/>
      <c r="M10" s="6" t="n"/>
      <c r="N10" s="6" t="n"/>
      <c r="O10" s="6" t="n"/>
      <c r="P10" s="6" t="n"/>
      <c r="Q10" s="6" t="n"/>
      <c r="R10" s="6" t="n"/>
      <c r="S10" s="6" t="n"/>
      <c r="T10" s="6" t="n"/>
      <c r="U10" s="6" t="n"/>
      <c r="V10" s="6" t="n"/>
      <c r="W10" s="6" t="n"/>
      <c r="X10" s="6" t="n"/>
      <c r="Y10" s="6" t="n"/>
    </row>
    <row r="11" ht="22" customHeight="1">
      <c r="A11" s="8" t="n">
        <v>8</v>
      </c>
      <c r="B11" s="10" t="n"/>
      <c r="C11" s="11">
        <f>IF(E11="","",UPPER(LEFT(D11,3))&amp;"-"&amp;TEXT(8,"000"))</f>
        <v/>
      </c>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row>
    <row r="12" ht="22" customHeight="1">
      <c r="A12" s="4" t="n">
        <v>9</v>
      </c>
      <c r="B12" s="6" t="n"/>
      <c r="C12" s="7">
        <f>IF(E12="","",UPPER(LEFT(D12,3))&amp;"-"&amp;TEXT(9,"000"))</f>
        <v/>
      </c>
      <c r="D12" s="6" t="n"/>
      <c r="E12" s="6" t="n"/>
      <c r="F12" s="6" t="n"/>
      <c r="G12" s="6" t="n"/>
      <c r="H12" s="6" t="n"/>
      <c r="I12" s="6" t="n"/>
      <c r="J12" s="6" t="n"/>
      <c r="K12" s="6" t="n"/>
      <c r="L12" s="6" t="n"/>
      <c r="M12" s="6" t="n"/>
      <c r="N12" s="6" t="n"/>
      <c r="O12" s="6" t="n"/>
      <c r="P12" s="6" t="n"/>
      <c r="Q12" s="6" t="n"/>
      <c r="R12" s="6" t="n"/>
      <c r="S12" s="6" t="n"/>
      <c r="T12" s="6" t="n"/>
      <c r="U12" s="6" t="n"/>
      <c r="V12" s="6" t="n"/>
      <c r="W12" s="6" t="n"/>
      <c r="X12" s="6" t="n"/>
      <c r="Y12" s="6" t="n"/>
    </row>
    <row r="13" ht="22" customHeight="1">
      <c r="A13" s="8" t="n">
        <v>10</v>
      </c>
      <c r="B13" s="10" t="n"/>
      <c r="C13" s="11">
        <f>IF(E13="","",UPPER(LEFT(D13,3))&amp;"-"&amp;TEXT(10,"000"))</f>
        <v/>
      </c>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row>
    <row r="14" ht="22" customHeight="1">
      <c r="A14" s="4" t="n">
        <v>11</v>
      </c>
      <c r="B14" s="6" t="n"/>
      <c r="C14" s="7">
        <f>IF(E14="","",UPPER(LEFT(D14,3))&amp;"-"&amp;TEXT(11,"000"))</f>
        <v/>
      </c>
      <c r="D14" s="6" t="n"/>
      <c r="E14" s="6" t="n"/>
      <c r="F14" s="6" t="n"/>
      <c r="G14" s="6" t="n"/>
      <c r="H14" s="6" t="n"/>
      <c r="I14" s="6" t="n"/>
      <c r="J14" s="6" t="n"/>
      <c r="K14" s="6" t="n"/>
      <c r="L14" s="6" t="n"/>
      <c r="M14" s="6" t="n"/>
      <c r="N14" s="6" t="n"/>
      <c r="O14" s="6" t="n"/>
      <c r="P14" s="6" t="n"/>
      <c r="Q14" s="6" t="n"/>
      <c r="R14" s="6" t="n"/>
      <c r="S14" s="6" t="n"/>
      <c r="T14" s="6" t="n"/>
      <c r="U14" s="6" t="n"/>
      <c r="V14" s="6" t="n"/>
      <c r="W14" s="6" t="n"/>
      <c r="X14" s="6" t="n"/>
      <c r="Y14" s="6" t="n"/>
    </row>
    <row r="15" ht="22" customHeight="1">
      <c r="A15" s="8" t="n">
        <v>12</v>
      </c>
      <c r="B15" s="10" t="n"/>
      <c r="C15" s="11">
        <f>IF(E15="","",UPPER(LEFT(D15,3))&amp;"-"&amp;TEXT(12,"000"))</f>
        <v/>
      </c>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row>
    <row r="16" ht="22" customHeight="1">
      <c r="A16" s="4" t="n">
        <v>13</v>
      </c>
      <c r="B16" s="6" t="n"/>
      <c r="C16" s="7">
        <f>IF(E16="","",UPPER(LEFT(D16,3))&amp;"-"&amp;TEXT(13,"000"))</f>
        <v/>
      </c>
      <c r="D16" s="6" t="n"/>
      <c r="E16" s="6" t="n"/>
      <c r="F16" s="6" t="n"/>
      <c r="G16" s="6" t="n"/>
      <c r="H16" s="6" t="n"/>
      <c r="I16" s="6" t="n"/>
      <c r="J16" s="6" t="n"/>
      <c r="K16" s="6" t="n"/>
      <c r="L16" s="6" t="n"/>
      <c r="M16" s="6" t="n"/>
      <c r="N16" s="6" t="n"/>
      <c r="O16" s="6" t="n"/>
      <c r="P16" s="6" t="n"/>
      <c r="Q16" s="6" t="n"/>
      <c r="R16" s="6" t="n"/>
      <c r="S16" s="6" t="n"/>
      <c r="T16" s="6" t="n"/>
      <c r="U16" s="6" t="n"/>
      <c r="V16" s="6" t="n"/>
      <c r="W16" s="6" t="n"/>
      <c r="X16" s="6" t="n"/>
      <c r="Y16" s="6" t="n"/>
    </row>
    <row r="17" ht="22" customHeight="1">
      <c r="A17" s="8" t="n">
        <v>14</v>
      </c>
      <c r="B17" s="10" t="n"/>
      <c r="C17" s="11">
        <f>IF(E17="","",UPPER(LEFT(D17,3))&amp;"-"&amp;TEXT(14,"000"))</f>
        <v/>
      </c>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row>
    <row r="18" ht="22" customHeight="1">
      <c r="A18" s="4" t="n">
        <v>15</v>
      </c>
      <c r="B18" s="6" t="n"/>
      <c r="C18" s="7">
        <f>IF(E18="","",UPPER(LEFT(D18,3))&amp;"-"&amp;TEXT(15,"000"))</f>
        <v/>
      </c>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row>
    <row r="19" ht="22" customHeight="1">
      <c r="A19" s="8" t="n">
        <v>16</v>
      </c>
      <c r="B19" s="10" t="n"/>
      <c r="C19" s="11">
        <f>IF(E19="","",UPPER(LEFT(D19,3))&amp;"-"&amp;TEXT(16,"000"))</f>
        <v/>
      </c>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row>
    <row r="20" ht="22" customHeight="1">
      <c r="A20" s="4" t="n">
        <v>17</v>
      </c>
      <c r="B20" s="6" t="n"/>
      <c r="C20" s="7">
        <f>IF(E20="","",UPPER(LEFT(D20,3))&amp;"-"&amp;TEXT(17,"000"))</f>
        <v/>
      </c>
      <c r="D20" s="6" t="n"/>
      <c r="E20" s="6" t="n"/>
      <c r="F20" s="6" t="n"/>
      <c r="G20" s="6" t="n"/>
      <c r="H20" s="6" t="n"/>
      <c r="I20" s="6" t="n"/>
      <c r="J20" s="6" t="n"/>
      <c r="K20" s="6" t="n"/>
      <c r="L20" s="6" t="n"/>
      <c r="M20" s="6" t="n"/>
      <c r="N20" s="6" t="n"/>
      <c r="O20" s="6" t="n"/>
      <c r="P20" s="6" t="n"/>
      <c r="Q20" s="6" t="n"/>
      <c r="R20" s="6" t="n"/>
      <c r="S20" s="6" t="n"/>
      <c r="T20" s="6" t="n"/>
      <c r="U20" s="6" t="n"/>
      <c r="V20" s="6" t="n"/>
      <c r="W20" s="6" t="n"/>
      <c r="X20" s="6" t="n"/>
      <c r="Y20" s="6" t="n"/>
    </row>
    <row r="21" ht="22" customHeight="1">
      <c r="A21" s="8" t="n">
        <v>18</v>
      </c>
      <c r="B21" s="10" t="n"/>
      <c r="C21" s="11">
        <f>IF(E21="","",UPPER(LEFT(D21,3))&amp;"-"&amp;TEXT(18,"000"))</f>
        <v/>
      </c>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row>
    <row r="22" ht="22" customHeight="1">
      <c r="A22" s="4" t="n">
        <v>19</v>
      </c>
      <c r="B22" s="6" t="n"/>
      <c r="C22" s="7">
        <f>IF(E22="","",UPPER(LEFT(D22,3))&amp;"-"&amp;TEXT(19,"000"))</f>
        <v/>
      </c>
      <c r="D22" s="6" t="n"/>
      <c r="E22" s="6" t="n"/>
      <c r="F22" s="6" t="n"/>
      <c r="G22" s="6" t="n"/>
      <c r="H22" s="6" t="n"/>
      <c r="I22" s="6" t="n"/>
      <c r="J22" s="6" t="n"/>
      <c r="K22" s="6" t="n"/>
      <c r="L22" s="6" t="n"/>
      <c r="M22" s="6" t="n"/>
      <c r="N22" s="6" t="n"/>
      <c r="O22" s="6" t="n"/>
      <c r="P22" s="6" t="n"/>
      <c r="Q22" s="6" t="n"/>
      <c r="R22" s="6" t="n"/>
      <c r="S22" s="6" t="n"/>
      <c r="T22" s="6" t="n"/>
      <c r="U22" s="6" t="n"/>
      <c r="V22" s="6" t="n"/>
      <c r="W22" s="6" t="n"/>
      <c r="X22" s="6" t="n"/>
      <c r="Y22" s="6" t="n"/>
    </row>
    <row r="23" ht="22" customHeight="1">
      <c r="A23" s="8" t="n">
        <v>20</v>
      </c>
      <c r="B23" s="10" t="n"/>
      <c r="C23" s="11">
        <f>IF(E23="","",UPPER(LEFT(D23,3))&amp;"-"&amp;TEXT(20,"000"))</f>
        <v/>
      </c>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row>
    <row r="24" ht="22" customHeight="1">
      <c r="A24" s="4" t="n">
        <v>21</v>
      </c>
      <c r="B24" s="6" t="n"/>
      <c r="C24" s="7">
        <f>IF(E24="","",UPPER(LEFT(D24,3))&amp;"-"&amp;TEXT(21,"000"))</f>
        <v/>
      </c>
      <c r="D24" s="6" t="n"/>
      <c r="E24" s="6" t="n"/>
      <c r="F24" s="6" t="n"/>
      <c r="G24" s="6" t="n"/>
      <c r="H24" s="6" t="n"/>
      <c r="I24" s="6" t="n"/>
      <c r="J24" s="6" t="n"/>
      <c r="K24" s="6" t="n"/>
      <c r="L24" s="6" t="n"/>
      <c r="M24" s="6" t="n"/>
      <c r="N24" s="6" t="n"/>
      <c r="O24" s="6" t="n"/>
      <c r="P24" s="6" t="n"/>
      <c r="Q24" s="6" t="n"/>
      <c r="R24" s="6" t="n"/>
      <c r="S24" s="6" t="n"/>
      <c r="T24" s="6" t="n"/>
      <c r="U24" s="6" t="n"/>
      <c r="V24" s="6" t="n"/>
      <c r="W24" s="6" t="n"/>
      <c r="X24" s="6" t="n"/>
      <c r="Y24" s="6" t="n"/>
    </row>
    <row r="25" ht="22" customHeight="1">
      <c r="A25" s="8" t="n">
        <v>22</v>
      </c>
      <c r="B25" s="10" t="n"/>
      <c r="C25" s="11">
        <f>IF(E25="","",UPPER(LEFT(D25,3))&amp;"-"&amp;TEXT(22,"000"))</f>
        <v/>
      </c>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row>
    <row r="26" ht="22" customHeight="1">
      <c r="A26" s="4" t="n">
        <v>23</v>
      </c>
      <c r="B26" s="6" t="n"/>
      <c r="C26" s="7">
        <f>IF(E26="","",UPPER(LEFT(D26,3))&amp;"-"&amp;TEXT(23,"000"))</f>
        <v/>
      </c>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row>
    <row r="27" ht="22" customHeight="1">
      <c r="A27" s="8" t="n">
        <v>24</v>
      </c>
      <c r="B27" s="10" t="n"/>
      <c r="C27" s="11">
        <f>IF(E27="","",UPPER(LEFT(D27,3))&amp;"-"&amp;TEXT(24,"000"))</f>
        <v/>
      </c>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row>
    <row r="28" ht="22" customHeight="1">
      <c r="A28" s="4" t="n">
        <v>25</v>
      </c>
      <c r="B28" s="6" t="n"/>
      <c r="C28" s="7">
        <f>IF(E28="","",UPPER(LEFT(D28,3))&amp;"-"&amp;TEXT(25,"000"))</f>
        <v/>
      </c>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row>
    <row r="29" ht="22" customHeight="1">
      <c r="A29" s="8" t="n">
        <v>26</v>
      </c>
      <c r="B29" s="10" t="n"/>
      <c r="C29" s="11">
        <f>IF(E29="","",UPPER(LEFT(D29,3))&amp;"-"&amp;TEXT(26,"000"))</f>
        <v/>
      </c>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row>
    <row r="30" ht="22" customHeight="1">
      <c r="A30" s="4" t="n">
        <v>27</v>
      </c>
      <c r="B30" s="6" t="n"/>
      <c r="C30" s="7">
        <f>IF(E30="","",UPPER(LEFT(D30,3))&amp;"-"&amp;TEXT(27,"000"))</f>
        <v/>
      </c>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row>
    <row r="31" ht="22" customHeight="1">
      <c r="A31" s="8" t="n">
        <v>28</v>
      </c>
      <c r="B31" s="10" t="n"/>
      <c r="C31" s="11">
        <f>IF(E31="","",UPPER(LEFT(D31,3))&amp;"-"&amp;TEXT(28,"000"))</f>
        <v/>
      </c>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row>
    <row r="32" ht="22" customHeight="1">
      <c r="A32" s="4" t="n">
        <v>29</v>
      </c>
      <c r="B32" s="6" t="n"/>
      <c r="C32" s="7">
        <f>IF(E32="","",UPPER(LEFT(D32,3))&amp;"-"&amp;TEXT(29,"000"))</f>
        <v/>
      </c>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row>
    <row r="33" ht="22" customHeight="1">
      <c r="A33" s="8" t="n">
        <v>30</v>
      </c>
      <c r="B33" s="10" t="n"/>
      <c r="C33" s="11">
        <f>IF(E33="","",UPPER(LEFT(D33,3))&amp;"-"&amp;TEXT(30,"000"))</f>
        <v/>
      </c>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row>
    <row r="34" ht="22" customHeight="1">
      <c r="A34" s="4" t="n">
        <v>31</v>
      </c>
      <c r="B34" s="6" t="n"/>
      <c r="C34" s="7">
        <f>IF(E34="","",UPPER(LEFT(D34,3))&amp;"-"&amp;TEXT(31,"000"))</f>
        <v/>
      </c>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row>
    <row r="35" ht="22" customHeight="1">
      <c r="A35" s="8" t="n">
        <v>32</v>
      </c>
      <c r="B35" s="10" t="n"/>
      <c r="C35" s="11">
        <f>IF(E35="","",UPPER(LEFT(D35,3))&amp;"-"&amp;TEXT(32,"000"))</f>
        <v/>
      </c>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row>
    <row r="36" ht="22" customHeight="1">
      <c r="A36" s="4" t="n">
        <v>33</v>
      </c>
      <c r="B36" s="6" t="n"/>
      <c r="C36" s="7">
        <f>IF(E36="","",UPPER(LEFT(D36,3))&amp;"-"&amp;TEXT(33,"000"))</f>
        <v/>
      </c>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row>
    <row r="37" ht="22" customHeight="1">
      <c r="A37" s="8" t="n">
        <v>34</v>
      </c>
      <c r="B37" s="10" t="n"/>
      <c r="C37" s="11">
        <f>IF(E37="","",UPPER(LEFT(D37,3))&amp;"-"&amp;TEXT(34,"000"))</f>
        <v/>
      </c>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row>
    <row r="38" ht="22" customHeight="1">
      <c r="A38" s="4" t="n">
        <v>35</v>
      </c>
      <c r="B38" s="6" t="n"/>
      <c r="C38" s="7">
        <f>IF(E38="","",UPPER(LEFT(D38,3))&amp;"-"&amp;TEXT(35,"000"))</f>
        <v/>
      </c>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row>
    <row r="39" ht="22" customHeight="1">
      <c r="A39" s="8" t="n">
        <v>36</v>
      </c>
      <c r="B39" s="10" t="n"/>
      <c r="C39" s="11">
        <f>IF(E39="","",UPPER(LEFT(D39,3))&amp;"-"&amp;TEXT(36,"000"))</f>
        <v/>
      </c>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row>
    <row r="40" ht="22" customHeight="1">
      <c r="A40" s="4" t="n">
        <v>37</v>
      </c>
      <c r="B40" s="6" t="n"/>
      <c r="C40" s="7">
        <f>IF(E40="","",UPPER(LEFT(D40,3))&amp;"-"&amp;TEXT(37,"000"))</f>
        <v/>
      </c>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row>
    <row r="41" ht="22" customHeight="1">
      <c r="A41" s="8" t="n">
        <v>38</v>
      </c>
      <c r="B41" s="10" t="n"/>
      <c r="C41" s="11">
        <f>IF(E41="","",UPPER(LEFT(D41,3))&amp;"-"&amp;TEXT(38,"000"))</f>
        <v/>
      </c>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row>
    <row r="42" ht="22" customHeight="1">
      <c r="A42" s="4" t="n">
        <v>39</v>
      </c>
      <c r="B42" s="6" t="n"/>
      <c r="C42" s="7">
        <f>IF(E42="","",UPPER(LEFT(D42,3))&amp;"-"&amp;TEXT(39,"000"))</f>
        <v/>
      </c>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row>
    <row r="43" ht="22" customHeight="1">
      <c r="A43" s="8" t="n">
        <v>40</v>
      </c>
      <c r="B43" s="10" t="n"/>
      <c r="C43" s="11">
        <f>IF(E43="","",UPPER(LEFT(D43,3))&amp;"-"&amp;TEXT(40,"000"))</f>
        <v/>
      </c>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row>
    <row r="44" ht="22" customHeight="1">
      <c r="A44" s="4" t="n">
        <v>41</v>
      </c>
      <c r="B44" s="6" t="n"/>
      <c r="C44" s="7">
        <f>IF(E44="","",UPPER(LEFT(D44,3))&amp;"-"&amp;TEXT(41,"000"))</f>
        <v/>
      </c>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row>
    <row r="45" ht="22" customHeight="1">
      <c r="A45" s="8" t="n">
        <v>42</v>
      </c>
      <c r="B45" s="10" t="n"/>
      <c r="C45" s="11">
        <f>IF(E45="","",UPPER(LEFT(D45,3))&amp;"-"&amp;TEXT(42,"000"))</f>
        <v/>
      </c>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row>
    <row r="46" ht="22" customHeight="1">
      <c r="A46" s="4" t="n">
        <v>43</v>
      </c>
      <c r="B46" s="6" t="n"/>
      <c r="C46" s="7">
        <f>IF(E46="","",UPPER(LEFT(D46,3))&amp;"-"&amp;TEXT(43,"000"))</f>
        <v/>
      </c>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row>
    <row r="47" ht="22" customHeight="1">
      <c r="A47" s="8" t="n">
        <v>44</v>
      </c>
      <c r="B47" s="10" t="n"/>
      <c r="C47" s="11">
        <f>IF(E47="","",UPPER(LEFT(D47,3))&amp;"-"&amp;TEXT(44,"000"))</f>
        <v/>
      </c>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row>
    <row r="48" ht="22" customHeight="1">
      <c r="A48" s="4" t="n">
        <v>45</v>
      </c>
      <c r="B48" s="6" t="n"/>
      <c r="C48" s="7">
        <f>IF(E48="","",UPPER(LEFT(D48,3))&amp;"-"&amp;TEXT(45,"000"))</f>
        <v/>
      </c>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row>
    <row r="49" ht="22" customHeight="1">
      <c r="A49" s="8" t="n">
        <v>46</v>
      </c>
      <c r="B49" s="10" t="n"/>
      <c r="C49" s="11">
        <f>IF(E49="","",UPPER(LEFT(D49,3))&amp;"-"&amp;TEXT(46,"000"))</f>
        <v/>
      </c>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row>
    <row r="50" ht="22" customHeight="1">
      <c r="A50" s="4" t="n">
        <v>47</v>
      </c>
      <c r="B50" s="6" t="n"/>
      <c r="C50" s="7">
        <f>IF(E50="","",UPPER(LEFT(D50,3))&amp;"-"&amp;TEXT(47,"000"))</f>
        <v/>
      </c>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row>
    <row r="51" ht="22" customHeight="1">
      <c r="A51" s="8" t="n">
        <v>48</v>
      </c>
      <c r="B51" s="10" t="n"/>
      <c r="C51" s="11">
        <f>IF(E51="","",UPPER(LEFT(D51,3))&amp;"-"&amp;TEXT(48,"000"))</f>
        <v/>
      </c>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row>
    <row r="52" ht="22" customHeight="1">
      <c r="A52" s="4" t="n">
        <v>49</v>
      </c>
      <c r="B52" s="6" t="n"/>
      <c r="C52" s="7">
        <f>IF(E52="","",UPPER(LEFT(D52,3))&amp;"-"&amp;TEXT(49,"000"))</f>
        <v/>
      </c>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row>
    <row r="53" ht="22" customHeight="1">
      <c r="A53" s="8" t="n">
        <v>50</v>
      </c>
      <c r="B53" s="10" t="n"/>
      <c r="C53" s="11">
        <f>IF(E53="","",UPPER(LEFT(D53,3))&amp;"-"&amp;TEXT(50,"000"))</f>
        <v/>
      </c>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row>
  </sheetData>
  <mergeCells count="2">
    <mergeCell ref="A2:Y2"/>
    <mergeCell ref="A1:Y1"/>
  </mergeCells>
  <conditionalFormatting sqref="S4:S53">
    <cfRule type="containsText" priority="1" operator="containsText" dxfId="0" text="Approved">
      <formula>NOT(ISERROR(SEARCH("Approved",S4)))</formula>
    </cfRule>
    <cfRule type="containsText" priority="2" operator="containsText" dxfId="0" text="Published">
      <formula>NOT(ISERROR(SEARCH("Published",S4)))</formula>
    </cfRule>
    <cfRule type="containsText" priority="3" operator="containsText" dxfId="0" text="Live">
      <formula>NOT(ISERROR(SEARCH("Live",S4)))</formula>
    </cfRule>
    <cfRule type="containsText" priority="4" operator="containsText" dxfId="1" text="Cancelled">
      <formula>NOT(ISERROR(SEARCH("Cancelled",S4)))</formula>
    </cfRule>
    <cfRule type="containsText" priority="5" operator="containsText" dxfId="1" text="Rejected">
      <formula>NOT(ISERROR(SEARCH("Rejected",S4)))</formula>
    </cfRule>
    <cfRule type="containsText" priority="6" operator="containsText" dxfId="2" text="On Hold">
      <formula>NOT(ISERROR(SEARCH("On Hold",S4)))</formula>
    </cfRule>
    <cfRule type="containsText" priority="7" operator="containsText" dxfId="2" text="Revision">
      <formula>NOT(ISERROR(SEARCH("Revision",S4)))</formula>
    </cfRule>
    <cfRule type="containsText" priority="8" operator="containsText" dxfId="2" text="Changes">
      <formula>NOT(ISERROR(SEARCH("Changes",S4)))</formula>
    </cfRule>
  </conditionalFormatting>
  <conditionalFormatting sqref="T4:T53">
    <cfRule type="containsText" priority="9" operator="containsText" dxfId="0" text="Approved">
      <formula>NOT(ISERROR(SEARCH("Approved",T4)))</formula>
    </cfRule>
    <cfRule type="containsText" priority="10" operator="containsText" dxfId="1" text="Rejected">
      <formula>NOT(ISERROR(SEARCH("Rejected",T4)))</formula>
    </cfRule>
    <cfRule type="containsText" priority="11" operator="containsText" dxfId="2" text="Changes">
      <formula>NOT(ISERROR(SEARCH("Changes",T4)))</formula>
    </cfRule>
  </conditionalFormatting>
  <conditionalFormatting sqref="U4:U53">
    <cfRule type="containsText" priority="12" operator="containsText" dxfId="0" text="Approved">
      <formula>NOT(ISERROR(SEARCH("Approved",U4)))</formula>
    </cfRule>
    <cfRule type="containsText" priority="13" operator="containsText" dxfId="1" text="Rejected">
      <formula>NOT(ISERROR(SEARCH("Rejected",U4)))</formula>
    </cfRule>
    <cfRule type="containsText" priority="14" operator="containsText" dxfId="2" text="Changes">
      <formula>NOT(ISERROR(SEARCH("Changes",U4)))</formula>
    </cfRule>
  </conditionalFormatting>
  <dataValidations count="12">
    <dataValidation sqref="D4:D53" showDropDown="0" showInputMessage="1" showErrorMessage="1" allowBlank="1" errorTitle="Invalid" error="Select from list." promptTitle="Vertical" prompt="Select vertical." type="list">
      <formula1>"Digital Transformation,Industrial Goods &amp; Consumer Products,Structural Engineering,MedTech,Energy &amp; Utilities,Sustainability,BFSI,Product Innovation,SolidPro AI,Other"</formula1>
    </dataValidation>
    <dataValidation sqref="R4:R53" showDropDown="0" showInputMessage="1" showErrorMessage="1" allowBlank="1" errorTitle="Invalid" error="Select from list." promptTitle="Priority" prompt="Urgency level." type="list">
      <formula1>"🔴 Critical,🟠 High,🟡 Medium,🟢 Low"</formula1>
    </dataValidation>
    <dataValidation sqref="S4:S53" showDropDown="0" showInputMessage="1" showErrorMessage="1" allowBlank="1" errorTitle="Invalid" error="Select from list." promptTitle="Status" prompt="Workflow status." type="list">
      <formula1>"📋 Briefed,✍ In Progress,🔁 In Revision,✅ Approved by Project Head,✅ Approved by Manager,🚀 Published / Live,⏸ On Hold,❌ Cancelled"</formula1>
    </dataValidation>
    <dataValidation sqref="T4:T53" showDropDown="0" showInputMessage="1" showErrorMessage="1" allowBlank="1" errorTitle="Invalid" error="Select from list." promptTitle="Project Head" prompt="Approval from Project Head." type="list">
      <formula1>"⏳ Pending,✅ Approved,🔁 Changes Requested,❌ Rejected"</formula1>
    </dataValidation>
    <dataValidation sqref="U4:U53" showDropDown="0" showInputMessage="1" showErrorMessage="1" allowBlank="1" errorTitle="Invalid" error="Select from list." promptTitle="Manager" prompt="Approval from Manager." type="list">
      <formula1>"⏳ Pending,✅ Approved,🔁 Changes Requested,❌ Rejected"</formula1>
    </dataValidation>
    <dataValidation sqref="Y4:Y53" showDropDown="0" showInputMessage="1" showErrorMessage="1" allowBlank="1" errorTitle="Invalid" error="Select from list." promptTitle="Archived" prompt="Mark Yes when done." type="list">
      <formula1>"No,Yes"</formula1>
    </dataValidation>
    <dataValidation sqref="O4:O53" showDropDown="0" showInputMessage="1" showErrorMessage="1" allowBlank="1" errorTitle="Invalid Date" error="Enter a valid date." promptTitle="Enter Date" prompt="Format: DD-MM-YYYY" type="date" operator="greaterThan">
      <formula1>DATE(2024,1,1)</formula1>
    </dataValidation>
    <dataValidation sqref="P4:P53" showDropDown="0" showInputMessage="1" showErrorMessage="1" allowBlank="1" errorTitle="Invalid Date" error="Enter a valid date." promptTitle="Enter Date" prompt="Format: DD-MM-YYYY" type="date" operator="greaterThan">
      <formula1>DATE(2024,1,1)</formula1>
    </dataValidation>
    <dataValidation sqref="Q4:Q53" showDropDown="0" showInputMessage="1" showErrorMessage="1" allowBlank="1" errorTitle="Invalid Date" error="Enter a valid date." promptTitle="Enter Date" prompt="Format: DD-MM-YYYY" type="date" operator="greaterThan">
      <formula1>DATE(2024,1,1)</formula1>
    </dataValidation>
    <dataValidation sqref="F4:F53" showDropDown="0" showInputMessage="1" showErrorMessage="1" allowBlank="1" errorTitle="Invalid" error="Select from list." promptTitle="Content Type" prompt="Type of creative content." type="list">
      <formula1>"Social Media Post,Blog Visual,Case Study Visual,Whitepaper Cover,Email Banner,Ad Creative,Brochure / Flyer,Presentation Deck,Event Material,Video – Explainer,Video – Testimonial,Video – Reel/Short,Video – Webinar,Infographic,Thumbnail,Other"</formula1>
    </dataValidation>
    <dataValidation sqref="G4:G53" showDropDown="0" showInputMessage="1" showErrorMessage="1" allowBlank="1" errorTitle="Invalid" error="Select from list." promptTitle="Asset Type" prompt="Creative category." type="list">
      <formula1>"Graphic Design,Video,Motion Graphic,Animation,Photography Edit,Illustration,Template,Other"</formula1>
    </dataValidation>
    <dataValidation sqref="I4:I53" showDropDown="0" showInputMessage="1" showErrorMessage="1" allowBlank="1" errorTitle="Invalid" error="Select from list." promptTitle="Platform" prompt="Target platform." type="list">
      <formula1>"LinkedIn,Instagram,Twitter/X,Facebook,YouTube,Website,Email,WhatsApp,Print,Multiple,Other"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53"/>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6" customWidth="1" min="2" max="2"/>
    <col width="14" customWidth="1" min="3" max="3"/>
    <col width="22" customWidth="1" min="4" max="4"/>
    <col width="32" customWidth="1" min="5" max="5"/>
    <col width="24" customWidth="1" min="6" max="6"/>
    <col width="22" customWidth="1" min="7" max="7"/>
    <col width="22" customWidth="1" min="8" max="8"/>
    <col width="22" customWidth="1" min="9" max="9"/>
    <col width="22" customWidth="1" min="10" max="10"/>
    <col width="22" customWidth="1" min="11" max="11"/>
    <col width="18" customWidth="1" min="12" max="12"/>
    <col width="24" customWidth="1" min="13" max="13"/>
    <col width="26" customWidth="1" min="14" max="14"/>
    <col width="36" customWidth="1" min="15" max="15"/>
    <col width="20" customWidth="1" min="16" max="16"/>
    <col width="20" customWidth="1" min="17" max="17"/>
    <col width="18" customWidth="1" min="18" max="18"/>
    <col width="28" customWidth="1" min="19" max="19"/>
    <col width="12" customWidth="1" min="20" max="20"/>
    <col width="20" customWidth="1" min="21" max="21"/>
    <col width="22" customWidth="1" min="22" max="22"/>
    <col width="20" customWidth="1" min="23" max="23"/>
    <col width="20" customWidth="1" min="24" max="24"/>
    <col width="14" customWidth="1" min="25" max="25"/>
    <col width="14" customWidth="1" min="26" max="26"/>
    <col width="14" customWidth="1" min="27" max="27"/>
    <col width="13" customWidth="1" min="28" max="28"/>
    <col width="26" customWidth="1" min="29" max="29"/>
    <col width="26" customWidth="1" min="30" max="30"/>
    <col width="22" customWidth="1" min="31" max="31"/>
    <col width="30" customWidth="1" min="32" max="32"/>
    <col width="12" customWidth="1" min="33" max="33"/>
    <col width="36" customWidth="1" min="34" max="34"/>
    <col width="12" customWidth="1" min="35" max="35"/>
  </cols>
  <sheetData>
    <row r="1" ht="34" customHeight="1">
      <c r="A1" s="14" t="inlineStr">
        <is>
          <t>SolidPro — Landing Pages Tracker</t>
        </is>
      </c>
    </row>
    <row r="2" ht="16" customHeight="1">
      <c r="A2" s="2" t="inlineStr">
        <is>
          <t>Link each row to a Campaign ID from the Campaign Master sheet  |  * = Mandatory</t>
        </is>
      </c>
    </row>
    <row r="3" ht="30" customHeight="1">
      <c r="A3" s="15" t="inlineStr">
        <is>
          <t>S.No</t>
        </is>
      </c>
      <c r="B3" s="15" t="inlineStr">
        <is>
          <t>Campaign ID *</t>
        </is>
      </c>
      <c r="C3" s="15" t="inlineStr">
        <is>
          <t>Asset ID</t>
        </is>
      </c>
      <c r="D3" s="15" t="inlineStr">
        <is>
          <t>Vertical *</t>
        </is>
      </c>
      <c r="E3" s="15" t="inlineStr">
        <is>
          <t>Asset Name / Title *</t>
        </is>
      </c>
      <c r="F3" s="15" t="inlineStr">
        <is>
          <t>Page URL / Slug</t>
        </is>
      </c>
      <c r="G3" s="15" t="inlineStr">
        <is>
          <t>Page Goal</t>
        </is>
      </c>
      <c r="H3" s="15" t="inlineStr">
        <is>
          <t>Landing Page Type</t>
        </is>
      </c>
      <c r="I3" s="15" t="inlineStr">
        <is>
          <t>Linked Creative Asset ID</t>
        </is>
      </c>
      <c r="J3" s="15" t="inlineStr">
        <is>
          <t>Linked Lead Magnet ID</t>
        </is>
      </c>
      <c r="K3" s="15" t="inlineStr">
        <is>
          <t>Linked Email Seq ID</t>
        </is>
      </c>
      <c r="L3" s="15" t="inlineStr">
        <is>
          <t>CTA Text</t>
        </is>
      </c>
      <c r="M3" s="15" t="inlineStr">
        <is>
          <t>Form Fields Required</t>
        </is>
      </c>
      <c r="N3" s="15" t="inlineStr">
        <is>
          <t>SEO Title</t>
        </is>
      </c>
      <c r="O3" s="15" t="inlineStr">
        <is>
          <t>Meta Description</t>
        </is>
      </c>
      <c r="P3" s="15" t="inlineStr">
        <is>
          <t>Dev Owner (SS)</t>
        </is>
      </c>
      <c r="Q3" s="15" t="inlineStr">
        <is>
          <t>Content Writer</t>
        </is>
      </c>
      <c r="R3" s="15" t="inlineStr">
        <is>
          <t>Design Asset ID</t>
        </is>
      </c>
      <c r="S3" s="15" t="inlineStr">
        <is>
          <t>UTM Parameters</t>
        </is>
      </c>
      <c r="T3" s="15" t="inlineStr">
        <is>
          <t>A/B Test?</t>
        </is>
      </c>
      <c r="U3" s="15" t="inlineStr">
        <is>
          <t>Conversion Goal</t>
        </is>
      </c>
      <c r="V3" s="15" t="inlineStr">
        <is>
          <t>Owner *</t>
        </is>
      </c>
      <c r="W3" s="15" t="inlineStr">
        <is>
          <t>Support</t>
        </is>
      </c>
      <c r="X3" s="15" t="inlineStr">
        <is>
          <t>Requested By</t>
        </is>
      </c>
      <c r="Y3" s="15" t="inlineStr">
        <is>
          <t>Brief Date</t>
        </is>
      </c>
      <c r="Z3" s="15" t="inlineStr">
        <is>
          <t>Due Date *</t>
        </is>
      </c>
      <c r="AA3" s="15" t="inlineStr">
        <is>
          <t>Pub / Post Date *</t>
        </is>
      </c>
      <c r="AB3" s="15" t="inlineStr">
        <is>
          <t>Priority</t>
        </is>
      </c>
      <c r="AC3" s="15" t="inlineStr">
        <is>
          <t>Status</t>
        </is>
      </c>
      <c r="AD3" s="15" t="inlineStr">
        <is>
          <t>Approved by Project Head</t>
        </is>
      </c>
      <c r="AE3" s="15" t="inlineStr">
        <is>
          <t>Approved by Manager</t>
        </is>
      </c>
      <c r="AF3" s="15" t="inlineStr">
        <is>
          <t>Final File / URL Link</t>
        </is>
      </c>
      <c r="AG3" s="15" t="inlineStr">
        <is>
          <t>Revision #</t>
        </is>
      </c>
      <c r="AH3" s="15" t="inlineStr">
        <is>
          <t>Feedback / Notes</t>
        </is>
      </c>
      <c r="AI3" s="15" t="inlineStr">
        <is>
          <t>Archived?</t>
        </is>
      </c>
    </row>
    <row r="4" ht="22" customHeight="1">
      <c r="A4" s="4" t="n">
        <v>1</v>
      </c>
      <c r="B4" s="6" t="n"/>
      <c r="C4" s="7">
        <f>IF(E4="","",UPPER(LEFT(D4,3))&amp;"-"&amp;TEXT(1,"000"))</f>
        <v/>
      </c>
      <c r="D4" s="6" t="n"/>
      <c r="E4" s="6" t="n"/>
      <c r="F4" s="6" t="n"/>
      <c r="G4" s="6" t="n"/>
      <c r="H4" s="6" t="n"/>
      <c r="I4" s="6" t="n"/>
      <c r="J4" s="6" t="n"/>
      <c r="K4" s="6" t="n"/>
      <c r="L4" s="6" t="n"/>
      <c r="M4" s="6" t="n"/>
      <c r="N4" s="6" t="n"/>
      <c r="O4" s="6" t="n"/>
      <c r="P4" s="6" t="n"/>
      <c r="Q4" s="6" t="n"/>
      <c r="R4" s="6" t="n"/>
      <c r="S4" s="6" t="n"/>
      <c r="T4" s="6" t="n"/>
      <c r="U4" s="6" t="n"/>
      <c r="V4" s="6" t="n"/>
      <c r="W4" s="6" t="n"/>
      <c r="X4" s="6" t="n"/>
      <c r="Y4" s="6" t="n"/>
      <c r="Z4" s="6" t="n"/>
      <c r="AA4" s="6" t="n"/>
      <c r="AB4" s="6" t="n"/>
      <c r="AC4" s="6" t="n"/>
      <c r="AD4" s="6" t="n"/>
      <c r="AE4" s="6" t="n"/>
      <c r="AF4" s="6" t="n"/>
      <c r="AG4" s="6" t="n"/>
      <c r="AH4" s="6" t="n"/>
      <c r="AI4" s="6" t="n"/>
    </row>
    <row r="5" ht="22" customHeight="1">
      <c r="A5" s="8" t="n">
        <v>2</v>
      </c>
      <c r="B5" s="10" t="n"/>
      <c r="C5" s="11">
        <f>IF(E5="","",UPPER(LEFT(D5,3))&amp;"-"&amp;TEXT(2,"000"))</f>
        <v/>
      </c>
      <c r="D5" s="10" t="n"/>
      <c r="E5" s="10" t="n"/>
      <c r="F5" s="10" t="n"/>
      <c r="G5" s="10" t="n"/>
      <c r="H5" s="10" t="n"/>
      <c r="I5" s="10" t="n"/>
      <c r="J5" s="10" t="n"/>
      <c r="K5" s="10" t="n"/>
      <c r="L5" s="10" t="n"/>
      <c r="M5" s="10" t="n"/>
      <c r="N5" s="10" t="n"/>
      <c r="O5" s="10" t="n"/>
      <c r="P5" s="10" t="n"/>
      <c r="Q5" s="10" t="n"/>
      <c r="R5" s="10" t="n"/>
      <c r="S5" s="10" t="n"/>
      <c r="T5" s="10" t="n"/>
      <c r="U5" s="10" t="n"/>
      <c r="V5" s="10" t="n"/>
      <c r="W5" s="10" t="n"/>
      <c r="X5" s="10" t="n"/>
      <c r="Y5" s="10" t="n"/>
      <c r="Z5" s="10" t="n"/>
      <c r="AA5" s="10" t="n"/>
      <c r="AB5" s="10" t="n"/>
      <c r="AC5" s="10" t="n"/>
      <c r="AD5" s="10" t="n"/>
      <c r="AE5" s="10" t="n"/>
      <c r="AF5" s="10" t="n"/>
      <c r="AG5" s="10" t="n"/>
      <c r="AH5" s="10" t="n"/>
      <c r="AI5" s="10" t="n"/>
    </row>
    <row r="6" ht="22" customHeight="1">
      <c r="A6" s="4" t="n">
        <v>3</v>
      </c>
      <c r="B6" s="6" t="n"/>
      <c r="C6" s="7">
        <f>IF(E6="","",UPPER(LEFT(D6,3))&amp;"-"&amp;TEXT(3,"000"))</f>
        <v/>
      </c>
      <c r="D6" s="6" t="n"/>
      <c r="E6" s="6" t="n"/>
      <c r="F6" s="6" t="n"/>
      <c r="G6" s="6" t="n"/>
      <c r="H6" s="6" t="n"/>
      <c r="I6" s="6" t="n"/>
      <c r="J6" s="6" t="n"/>
      <c r="K6" s="6" t="n"/>
      <c r="L6" s="6" t="n"/>
      <c r="M6" s="6" t="n"/>
      <c r="N6" s="6" t="n"/>
      <c r="O6" s="6" t="n"/>
      <c r="P6" s="6" t="n"/>
      <c r="Q6" s="6" t="n"/>
      <c r="R6" s="6" t="n"/>
      <c r="S6" s="6" t="n"/>
      <c r="T6" s="6" t="n"/>
      <c r="U6" s="6" t="n"/>
      <c r="V6" s="6" t="n"/>
      <c r="W6" s="6" t="n"/>
      <c r="X6" s="6" t="n"/>
      <c r="Y6" s="6" t="n"/>
      <c r="Z6" s="6" t="n"/>
      <c r="AA6" s="6" t="n"/>
      <c r="AB6" s="6" t="n"/>
      <c r="AC6" s="6" t="n"/>
      <c r="AD6" s="6" t="n"/>
      <c r="AE6" s="6" t="n"/>
      <c r="AF6" s="6" t="n"/>
      <c r="AG6" s="6" t="n"/>
      <c r="AH6" s="6" t="n"/>
      <c r="AI6" s="6" t="n"/>
    </row>
    <row r="7" ht="22" customHeight="1">
      <c r="A7" s="8" t="n">
        <v>4</v>
      </c>
      <c r="B7" s="10" t="n"/>
      <c r="C7" s="11">
        <f>IF(E7="","",UPPER(LEFT(D7,3))&amp;"-"&amp;TEXT(4,"000"))</f>
        <v/>
      </c>
      <c r="D7" s="10" t="n"/>
      <c r="E7" s="10"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row>
    <row r="8" ht="22" customHeight="1">
      <c r="A8" s="4" t="n">
        <v>5</v>
      </c>
      <c r="B8" s="6" t="n"/>
      <c r="C8" s="7">
        <f>IF(E8="","",UPPER(LEFT(D8,3))&amp;"-"&amp;TEXT(5,"000"))</f>
        <v/>
      </c>
      <c r="D8" s="6" t="n"/>
      <c r="E8" s="6" t="n"/>
      <c r="F8" s="6" t="n"/>
      <c r="G8" s="6"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c r="AI8" s="6" t="n"/>
    </row>
    <row r="9" ht="22" customHeight="1">
      <c r="A9" s="8" t="n">
        <v>6</v>
      </c>
      <c r="B9" s="10" t="n"/>
      <c r="C9" s="11">
        <f>IF(E9="","",UPPER(LEFT(D9,3))&amp;"-"&amp;TEXT(6,"000"))</f>
        <v/>
      </c>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row>
    <row r="10" ht="22" customHeight="1">
      <c r="A10" s="4" t="n">
        <v>7</v>
      </c>
      <c r="B10" s="6" t="n"/>
      <c r="C10" s="7">
        <f>IF(E10="","",UPPER(LEFT(D10,3))&amp;"-"&amp;TEXT(7,"000"))</f>
        <v/>
      </c>
      <c r="D10" s="6" t="n"/>
      <c r="E10" s="6" t="n"/>
      <c r="F10" s="6"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n"/>
      <c r="AG10" s="6" t="n"/>
      <c r="AH10" s="6" t="n"/>
      <c r="AI10" s="6" t="n"/>
    </row>
    <row r="11" ht="22" customHeight="1">
      <c r="A11" s="8" t="n">
        <v>8</v>
      </c>
      <c r="B11" s="10" t="n"/>
      <c r="C11" s="11">
        <f>IF(E11="","",UPPER(LEFT(D11,3))&amp;"-"&amp;TEXT(8,"000"))</f>
        <v/>
      </c>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row>
    <row r="12" ht="22" customHeight="1">
      <c r="A12" s="4" t="n">
        <v>9</v>
      </c>
      <c r="B12" s="6" t="n"/>
      <c r="C12" s="7">
        <f>IF(E12="","",UPPER(LEFT(D12,3))&amp;"-"&amp;TEXT(9,"000"))</f>
        <v/>
      </c>
      <c r="D12" s="6" t="n"/>
      <c r="E12" s="6" t="n"/>
      <c r="F12" s="6"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c r="AE12" s="6" t="n"/>
      <c r="AF12" s="6" t="n"/>
      <c r="AG12" s="6" t="n"/>
      <c r="AH12" s="6" t="n"/>
      <c r="AI12" s="6" t="n"/>
    </row>
    <row r="13" ht="22" customHeight="1">
      <c r="A13" s="8" t="n">
        <v>10</v>
      </c>
      <c r="B13" s="10" t="n"/>
      <c r="C13" s="11">
        <f>IF(E13="","",UPPER(LEFT(D13,3))&amp;"-"&amp;TEXT(10,"000"))</f>
        <v/>
      </c>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row>
    <row r="14" ht="22" customHeight="1">
      <c r="A14" s="4" t="n">
        <v>11</v>
      </c>
      <c r="B14" s="6" t="n"/>
      <c r="C14" s="7">
        <f>IF(E14="","",UPPER(LEFT(D14,3))&amp;"-"&amp;TEXT(11,"000"))</f>
        <v/>
      </c>
      <c r="D14" s="6" t="n"/>
      <c r="E14" s="6" t="n"/>
      <c r="F14" s="6"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6" t="n"/>
    </row>
    <row r="15" ht="22" customHeight="1">
      <c r="A15" s="8" t="n">
        <v>12</v>
      </c>
      <c r="B15" s="10" t="n"/>
      <c r="C15" s="11">
        <f>IF(E15="","",UPPER(LEFT(D15,3))&amp;"-"&amp;TEXT(12,"000"))</f>
        <v/>
      </c>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row>
    <row r="16" ht="22" customHeight="1">
      <c r="A16" s="4" t="n">
        <v>13</v>
      </c>
      <c r="B16" s="6" t="n"/>
      <c r="C16" s="7">
        <f>IF(E16="","",UPPER(LEFT(D16,3))&amp;"-"&amp;TEXT(13,"000"))</f>
        <v/>
      </c>
      <c r="D16" s="6" t="n"/>
      <c r="E16" s="6" t="n"/>
      <c r="F16" s="6" t="n"/>
      <c r="G16" s="6" t="n"/>
      <c r="H16" s="6" t="n"/>
      <c r="I16" s="6" t="n"/>
      <c r="J16" s="6" t="n"/>
      <c r="K16" s="6" t="n"/>
      <c r="L16" s="6" t="n"/>
      <c r="M16" s="6" t="n"/>
      <c r="N16" s="6" t="n"/>
      <c r="O16" s="6" t="n"/>
      <c r="P16" s="6" t="n"/>
      <c r="Q16" s="6" t="n"/>
      <c r="R16" s="6" t="n"/>
      <c r="S16" s="6" t="n"/>
      <c r="T16" s="6" t="n"/>
      <c r="U16" s="6" t="n"/>
      <c r="V16" s="6" t="n"/>
      <c r="W16" s="6" t="n"/>
      <c r="X16" s="6" t="n"/>
      <c r="Y16" s="6" t="n"/>
      <c r="Z16" s="6" t="n"/>
      <c r="AA16" s="6" t="n"/>
      <c r="AB16" s="6" t="n"/>
      <c r="AC16" s="6" t="n"/>
      <c r="AD16" s="6" t="n"/>
      <c r="AE16" s="6" t="n"/>
      <c r="AF16" s="6" t="n"/>
      <c r="AG16" s="6" t="n"/>
      <c r="AH16" s="6" t="n"/>
      <c r="AI16" s="6" t="n"/>
    </row>
    <row r="17" ht="22" customHeight="1">
      <c r="A17" s="8" t="n">
        <v>14</v>
      </c>
      <c r="B17" s="10" t="n"/>
      <c r="C17" s="11">
        <f>IF(E17="","",UPPER(LEFT(D17,3))&amp;"-"&amp;TEXT(14,"000"))</f>
        <v/>
      </c>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row>
    <row r="18" ht="22" customHeight="1">
      <c r="A18" s="4" t="n">
        <v>15</v>
      </c>
      <c r="B18" s="6" t="n"/>
      <c r="C18" s="7">
        <f>IF(E18="","",UPPER(LEFT(D18,3))&amp;"-"&amp;TEXT(15,"000"))</f>
        <v/>
      </c>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c r="Z18" s="6" t="n"/>
      <c r="AA18" s="6" t="n"/>
      <c r="AB18" s="6" t="n"/>
      <c r="AC18" s="6" t="n"/>
      <c r="AD18" s="6" t="n"/>
      <c r="AE18" s="6" t="n"/>
      <c r="AF18" s="6" t="n"/>
      <c r="AG18" s="6" t="n"/>
      <c r="AH18" s="6" t="n"/>
      <c r="AI18" s="6" t="n"/>
    </row>
    <row r="19" ht="22" customHeight="1">
      <c r="A19" s="8" t="n">
        <v>16</v>
      </c>
      <c r="B19" s="10" t="n"/>
      <c r="C19" s="11">
        <f>IF(E19="","",UPPER(LEFT(D19,3))&amp;"-"&amp;TEXT(16,"000"))</f>
        <v/>
      </c>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row>
    <row r="20" ht="22" customHeight="1">
      <c r="A20" s="4" t="n">
        <v>17</v>
      </c>
      <c r="B20" s="6" t="n"/>
      <c r="C20" s="7">
        <f>IF(E20="","",UPPER(LEFT(D20,3))&amp;"-"&amp;TEXT(17,"000"))</f>
        <v/>
      </c>
      <c r="D20" s="6" t="n"/>
      <c r="E20" s="6" t="n"/>
      <c r="F20" s="6" t="n"/>
      <c r="G20" s="6" t="n"/>
      <c r="H20" s="6" t="n"/>
      <c r="I20" s="6" t="n"/>
      <c r="J20" s="6" t="n"/>
      <c r="K20" s="6" t="n"/>
      <c r="L20" s="6" t="n"/>
      <c r="M20" s="6" t="n"/>
      <c r="N20" s="6" t="n"/>
      <c r="O20" s="6" t="n"/>
      <c r="P20" s="6" t="n"/>
      <c r="Q20" s="6" t="n"/>
      <c r="R20" s="6" t="n"/>
      <c r="S20" s="6" t="n"/>
      <c r="T20" s="6" t="n"/>
      <c r="U20" s="6" t="n"/>
      <c r="V20" s="6" t="n"/>
      <c r="W20" s="6" t="n"/>
      <c r="X20" s="6" t="n"/>
      <c r="Y20" s="6" t="n"/>
      <c r="Z20" s="6" t="n"/>
      <c r="AA20" s="6" t="n"/>
      <c r="AB20" s="6" t="n"/>
      <c r="AC20" s="6" t="n"/>
      <c r="AD20" s="6" t="n"/>
      <c r="AE20" s="6" t="n"/>
      <c r="AF20" s="6" t="n"/>
      <c r="AG20" s="6" t="n"/>
      <c r="AH20" s="6" t="n"/>
      <c r="AI20" s="6" t="n"/>
    </row>
    <row r="21" ht="22" customHeight="1">
      <c r="A21" s="8" t="n">
        <v>18</v>
      </c>
      <c r="B21" s="10" t="n"/>
      <c r="C21" s="11">
        <f>IF(E21="","",UPPER(LEFT(D21,3))&amp;"-"&amp;TEXT(18,"000"))</f>
        <v/>
      </c>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row>
    <row r="22" ht="22" customHeight="1">
      <c r="A22" s="4" t="n">
        <v>19</v>
      </c>
      <c r="B22" s="6" t="n"/>
      <c r="C22" s="7">
        <f>IF(E22="","",UPPER(LEFT(D22,3))&amp;"-"&amp;TEXT(19,"000"))</f>
        <v/>
      </c>
      <c r="D22" s="6" t="n"/>
      <c r="E22" s="6" t="n"/>
      <c r="F22" s="6" t="n"/>
      <c r="G22" s="6" t="n"/>
      <c r="H22" s="6" t="n"/>
      <c r="I22" s="6" t="n"/>
      <c r="J22" s="6" t="n"/>
      <c r="K22" s="6" t="n"/>
      <c r="L22" s="6" t="n"/>
      <c r="M22" s="6" t="n"/>
      <c r="N22" s="6" t="n"/>
      <c r="O22" s="6" t="n"/>
      <c r="P22" s="6" t="n"/>
      <c r="Q22" s="6" t="n"/>
      <c r="R22" s="6" t="n"/>
      <c r="S22" s="6" t="n"/>
      <c r="T22" s="6" t="n"/>
      <c r="U22" s="6" t="n"/>
      <c r="V22" s="6" t="n"/>
      <c r="W22" s="6" t="n"/>
      <c r="X22" s="6" t="n"/>
      <c r="Y22" s="6" t="n"/>
      <c r="Z22" s="6" t="n"/>
      <c r="AA22" s="6" t="n"/>
      <c r="AB22" s="6" t="n"/>
      <c r="AC22" s="6" t="n"/>
      <c r="AD22" s="6" t="n"/>
      <c r="AE22" s="6" t="n"/>
      <c r="AF22" s="6" t="n"/>
      <c r="AG22" s="6" t="n"/>
      <c r="AH22" s="6" t="n"/>
      <c r="AI22" s="6" t="n"/>
    </row>
    <row r="23" ht="22" customHeight="1">
      <c r="A23" s="8" t="n">
        <v>20</v>
      </c>
      <c r="B23" s="10" t="n"/>
      <c r="C23" s="11">
        <f>IF(E23="","",UPPER(LEFT(D23,3))&amp;"-"&amp;TEXT(20,"000"))</f>
        <v/>
      </c>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c r="AF23" s="10" t="n"/>
      <c r="AG23" s="10" t="n"/>
      <c r="AH23" s="10" t="n"/>
      <c r="AI23" s="10" t="n"/>
    </row>
    <row r="24" ht="22" customHeight="1">
      <c r="A24" s="4" t="n">
        <v>21</v>
      </c>
      <c r="B24" s="6" t="n"/>
      <c r="C24" s="7">
        <f>IF(E24="","",UPPER(LEFT(D24,3))&amp;"-"&amp;TEXT(21,"000"))</f>
        <v/>
      </c>
      <c r="D24" s="6" t="n"/>
      <c r="E24" s="6" t="n"/>
      <c r="F24" s="6" t="n"/>
      <c r="G24" s="6" t="n"/>
      <c r="H24" s="6" t="n"/>
      <c r="I24" s="6" t="n"/>
      <c r="J24" s="6" t="n"/>
      <c r="K24" s="6" t="n"/>
      <c r="L24" s="6" t="n"/>
      <c r="M24" s="6" t="n"/>
      <c r="N24" s="6" t="n"/>
      <c r="O24" s="6" t="n"/>
      <c r="P24" s="6" t="n"/>
      <c r="Q24" s="6" t="n"/>
      <c r="R24" s="6" t="n"/>
      <c r="S24" s="6" t="n"/>
      <c r="T24" s="6" t="n"/>
      <c r="U24" s="6" t="n"/>
      <c r="V24" s="6" t="n"/>
      <c r="W24" s="6" t="n"/>
      <c r="X24" s="6" t="n"/>
      <c r="Y24" s="6" t="n"/>
      <c r="Z24" s="6" t="n"/>
      <c r="AA24" s="6" t="n"/>
      <c r="AB24" s="6" t="n"/>
      <c r="AC24" s="6" t="n"/>
      <c r="AD24" s="6" t="n"/>
      <c r="AE24" s="6" t="n"/>
      <c r="AF24" s="6" t="n"/>
      <c r="AG24" s="6" t="n"/>
      <c r="AH24" s="6" t="n"/>
      <c r="AI24" s="6" t="n"/>
    </row>
    <row r="25" ht="22" customHeight="1">
      <c r="A25" s="8" t="n">
        <v>22</v>
      </c>
      <c r="B25" s="10" t="n"/>
      <c r="C25" s="11">
        <f>IF(E25="","",UPPER(LEFT(D25,3))&amp;"-"&amp;TEXT(22,"000"))</f>
        <v/>
      </c>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c r="AI25" s="10" t="n"/>
    </row>
    <row r="26" ht="22" customHeight="1">
      <c r="A26" s="4" t="n">
        <v>23</v>
      </c>
      <c r="B26" s="6" t="n"/>
      <c r="C26" s="7">
        <f>IF(E26="","",UPPER(LEFT(D26,3))&amp;"-"&amp;TEXT(23,"000"))</f>
        <v/>
      </c>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c r="Z26" s="6" t="n"/>
      <c r="AA26" s="6" t="n"/>
      <c r="AB26" s="6" t="n"/>
      <c r="AC26" s="6" t="n"/>
      <c r="AD26" s="6" t="n"/>
      <c r="AE26" s="6" t="n"/>
      <c r="AF26" s="6" t="n"/>
      <c r="AG26" s="6" t="n"/>
      <c r="AH26" s="6" t="n"/>
      <c r="AI26" s="6" t="n"/>
    </row>
    <row r="27" ht="22" customHeight="1">
      <c r="A27" s="8" t="n">
        <v>24</v>
      </c>
      <c r="B27" s="10" t="n"/>
      <c r="C27" s="11">
        <f>IF(E27="","",UPPER(LEFT(D27,3))&amp;"-"&amp;TEXT(24,"000"))</f>
        <v/>
      </c>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c r="AF27" s="10" t="n"/>
      <c r="AG27" s="10" t="n"/>
      <c r="AH27" s="10" t="n"/>
      <c r="AI27" s="10" t="n"/>
    </row>
    <row r="28" ht="22" customHeight="1">
      <c r="A28" s="4" t="n">
        <v>25</v>
      </c>
      <c r="B28" s="6" t="n"/>
      <c r="C28" s="7">
        <f>IF(E28="","",UPPER(LEFT(D28,3))&amp;"-"&amp;TEXT(25,"000"))</f>
        <v/>
      </c>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c r="AA28" s="6" t="n"/>
      <c r="AB28" s="6" t="n"/>
      <c r="AC28" s="6" t="n"/>
      <c r="AD28" s="6" t="n"/>
      <c r="AE28" s="6" t="n"/>
      <c r="AF28" s="6" t="n"/>
      <c r="AG28" s="6" t="n"/>
      <c r="AH28" s="6" t="n"/>
      <c r="AI28" s="6" t="n"/>
    </row>
    <row r="29" ht="22" customHeight="1">
      <c r="A29" s="8" t="n">
        <v>26</v>
      </c>
      <c r="B29" s="10" t="n"/>
      <c r="C29" s="11">
        <f>IF(E29="","",UPPER(LEFT(D29,3))&amp;"-"&amp;TEXT(26,"000"))</f>
        <v/>
      </c>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n"/>
    </row>
    <row r="30" ht="22" customHeight="1">
      <c r="A30" s="4" t="n">
        <v>27</v>
      </c>
      <c r="B30" s="6" t="n"/>
      <c r="C30" s="7">
        <f>IF(E30="","",UPPER(LEFT(D30,3))&amp;"-"&amp;TEXT(27,"000"))</f>
        <v/>
      </c>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c r="AC30" s="6" t="n"/>
      <c r="AD30" s="6" t="n"/>
      <c r="AE30" s="6" t="n"/>
      <c r="AF30" s="6" t="n"/>
      <c r="AG30" s="6" t="n"/>
      <c r="AH30" s="6" t="n"/>
      <c r="AI30" s="6" t="n"/>
    </row>
    <row r="31" ht="22" customHeight="1">
      <c r="A31" s="8" t="n">
        <v>28</v>
      </c>
      <c r="B31" s="10" t="n"/>
      <c r="C31" s="11">
        <f>IF(E31="","",UPPER(LEFT(D31,3))&amp;"-"&amp;TEXT(28,"000"))</f>
        <v/>
      </c>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10" t="n"/>
      <c r="AC31" s="10" t="n"/>
      <c r="AD31" s="10" t="n"/>
      <c r="AE31" s="10" t="n"/>
      <c r="AF31" s="10" t="n"/>
      <c r="AG31" s="10" t="n"/>
      <c r="AH31" s="10" t="n"/>
      <c r="AI31" s="10" t="n"/>
    </row>
    <row r="32" ht="22" customHeight="1">
      <c r="A32" s="4" t="n">
        <v>29</v>
      </c>
      <c r="B32" s="6" t="n"/>
      <c r="C32" s="7">
        <f>IF(E32="","",UPPER(LEFT(D32,3))&amp;"-"&amp;TEXT(29,"000"))</f>
        <v/>
      </c>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c r="AA32" s="6" t="n"/>
      <c r="AB32" s="6" t="n"/>
      <c r="AC32" s="6" t="n"/>
      <c r="AD32" s="6" t="n"/>
      <c r="AE32" s="6" t="n"/>
      <c r="AF32" s="6" t="n"/>
      <c r="AG32" s="6" t="n"/>
      <c r="AH32" s="6" t="n"/>
      <c r="AI32" s="6" t="n"/>
    </row>
    <row r="33" ht="22" customHeight="1">
      <c r="A33" s="8" t="n">
        <v>30</v>
      </c>
      <c r="B33" s="10" t="n"/>
      <c r="C33" s="11">
        <f>IF(E33="","",UPPER(LEFT(D33,3))&amp;"-"&amp;TEXT(30,"000"))</f>
        <v/>
      </c>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c r="AD33" s="10" t="n"/>
      <c r="AE33" s="10" t="n"/>
      <c r="AF33" s="10" t="n"/>
      <c r="AG33" s="10" t="n"/>
      <c r="AH33" s="10" t="n"/>
      <c r="AI33" s="10" t="n"/>
    </row>
    <row r="34" ht="22" customHeight="1">
      <c r="A34" s="4" t="n">
        <v>31</v>
      </c>
      <c r="B34" s="6" t="n"/>
      <c r="C34" s="7">
        <f>IF(E34="","",UPPER(LEFT(D34,3))&amp;"-"&amp;TEXT(31,"000"))</f>
        <v/>
      </c>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c r="AA34" s="6" t="n"/>
      <c r="AB34" s="6" t="n"/>
      <c r="AC34" s="6" t="n"/>
      <c r="AD34" s="6" t="n"/>
      <c r="AE34" s="6" t="n"/>
      <c r="AF34" s="6" t="n"/>
      <c r="AG34" s="6" t="n"/>
      <c r="AH34" s="6" t="n"/>
      <c r="AI34" s="6" t="n"/>
    </row>
    <row r="35" ht="22" customHeight="1">
      <c r="A35" s="8" t="n">
        <v>32</v>
      </c>
      <c r="B35" s="10" t="n"/>
      <c r="C35" s="11">
        <f>IF(E35="","",UPPER(LEFT(D35,3))&amp;"-"&amp;TEXT(32,"000"))</f>
        <v/>
      </c>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c r="AH35" s="10" t="n"/>
      <c r="AI35" s="10" t="n"/>
    </row>
    <row r="36" ht="22" customHeight="1">
      <c r="A36" s="4" t="n">
        <v>33</v>
      </c>
      <c r="B36" s="6" t="n"/>
      <c r="C36" s="7">
        <f>IF(E36="","",UPPER(LEFT(D36,3))&amp;"-"&amp;TEXT(33,"000"))</f>
        <v/>
      </c>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c r="AA36" s="6" t="n"/>
      <c r="AB36" s="6" t="n"/>
      <c r="AC36" s="6" t="n"/>
      <c r="AD36" s="6" t="n"/>
      <c r="AE36" s="6" t="n"/>
      <c r="AF36" s="6" t="n"/>
      <c r="AG36" s="6" t="n"/>
      <c r="AH36" s="6" t="n"/>
      <c r="AI36" s="6" t="n"/>
    </row>
    <row r="37" ht="22" customHeight="1">
      <c r="A37" s="8" t="n">
        <v>34</v>
      </c>
      <c r="B37" s="10" t="n"/>
      <c r="C37" s="11">
        <f>IF(E37="","",UPPER(LEFT(D37,3))&amp;"-"&amp;TEXT(34,"000"))</f>
        <v/>
      </c>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c r="AE37" s="10" t="n"/>
      <c r="AF37" s="10" t="n"/>
      <c r="AG37" s="10" t="n"/>
      <c r="AH37" s="10" t="n"/>
      <c r="AI37" s="10" t="n"/>
    </row>
    <row r="38" ht="22" customHeight="1">
      <c r="A38" s="4" t="n">
        <v>35</v>
      </c>
      <c r="B38" s="6" t="n"/>
      <c r="C38" s="7">
        <f>IF(E38="","",UPPER(LEFT(D38,3))&amp;"-"&amp;TEXT(35,"000"))</f>
        <v/>
      </c>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c r="AA38" s="6" t="n"/>
      <c r="AB38" s="6" t="n"/>
      <c r="AC38" s="6" t="n"/>
      <c r="AD38" s="6" t="n"/>
      <c r="AE38" s="6" t="n"/>
      <c r="AF38" s="6" t="n"/>
      <c r="AG38" s="6" t="n"/>
      <c r="AH38" s="6" t="n"/>
      <c r="AI38" s="6" t="n"/>
    </row>
    <row r="39" ht="22" customHeight="1">
      <c r="A39" s="8" t="n">
        <v>36</v>
      </c>
      <c r="B39" s="10" t="n"/>
      <c r="C39" s="11">
        <f>IF(E39="","",UPPER(LEFT(D39,3))&amp;"-"&amp;TEXT(36,"000"))</f>
        <v/>
      </c>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c r="AD39" s="10" t="n"/>
      <c r="AE39" s="10" t="n"/>
      <c r="AF39" s="10" t="n"/>
      <c r="AG39" s="10" t="n"/>
      <c r="AH39" s="10" t="n"/>
      <c r="AI39" s="10" t="n"/>
    </row>
    <row r="40" ht="22" customHeight="1">
      <c r="A40" s="4" t="n">
        <v>37</v>
      </c>
      <c r="B40" s="6" t="n"/>
      <c r="C40" s="7">
        <f>IF(E40="","",UPPER(LEFT(D40,3))&amp;"-"&amp;TEXT(37,"000"))</f>
        <v/>
      </c>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c r="AA40" s="6" t="n"/>
      <c r="AB40" s="6" t="n"/>
      <c r="AC40" s="6" t="n"/>
      <c r="AD40" s="6" t="n"/>
      <c r="AE40" s="6" t="n"/>
      <c r="AF40" s="6" t="n"/>
      <c r="AG40" s="6" t="n"/>
      <c r="AH40" s="6" t="n"/>
      <c r="AI40" s="6" t="n"/>
    </row>
    <row r="41" ht="22" customHeight="1">
      <c r="A41" s="8" t="n">
        <v>38</v>
      </c>
      <c r="B41" s="10" t="n"/>
      <c r="C41" s="11">
        <f>IF(E41="","",UPPER(LEFT(D41,3))&amp;"-"&amp;TEXT(38,"000"))</f>
        <v/>
      </c>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c r="AD41" s="10" t="n"/>
      <c r="AE41" s="10" t="n"/>
      <c r="AF41" s="10" t="n"/>
      <c r="AG41" s="10" t="n"/>
      <c r="AH41" s="10" t="n"/>
      <c r="AI41" s="10" t="n"/>
    </row>
    <row r="42" ht="22" customHeight="1">
      <c r="A42" s="4" t="n">
        <v>39</v>
      </c>
      <c r="B42" s="6" t="n"/>
      <c r="C42" s="7">
        <f>IF(E42="","",UPPER(LEFT(D42,3))&amp;"-"&amp;TEXT(39,"000"))</f>
        <v/>
      </c>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c r="AA42" s="6" t="n"/>
      <c r="AB42" s="6" t="n"/>
      <c r="AC42" s="6" t="n"/>
      <c r="AD42" s="6" t="n"/>
      <c r="AE42" s="6" t="n"/>
      <c r="AF42" s="6" t="n"/>
      <c r="AG42" s="6" t="n"/>
      <c r="AH42" s="6" t="n"/>
      <c r="AI42" s="6" t="n"/>
    </row>
    <row r="43" ht="22" customHeight="1">
      <c r="A43" s="8" t="n">
        <v>40</v>
      </c>
      <c r="B43" s="10" t="n"/>
      <c r="C43" s="11">
        <f>IF(E43="","",UPPER(LEFT(D43,3))&amp;"-"&amp;TEXT(40,"000"))</f>
        <v/>
      </c>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row>
    <row r="44" ht="22" customHeight="1">
      <c r="A44" s="4" t="n">
        <v>41</v>
      </c>
      <c r="B44" s="6" t="n"/>
      <c r="C44" s="7">
        <f>IF(E44="","",UPPER(LEFT(D44,3))&amp;"-"&amp;TEXT(41,"000"))</f>
        <v/>
      </c>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c r="AA44" s="6" t="n"/>
      <c r="AB44" s="6" t="n"/>
      <c r="AC44" s="6" t="n"/>
      <c r="AD44" s="6" t="n"/>
      <c r="AE44" s="6" t="n"/>
      <c r="AF44" s="6" t="n"/>
      <c r="AG44" s="6" t="n"/>
      <c r="AH44" s="6" t="n"/>
      <c r="AI44" s="6" t="n"/>
    </row>
    <row r="45" ht="22" customHeight="1">
      <c r="A45" s="8" t="n">
        <v>42</v>
      </c>
      <c r="B45" s="10" t="n"/>
      <c r="C45" s="11">
        <f>IF(E45="","",UPPER(LEFT(D45,3))&amp;"-"&amp;TEXT(42,"000"))</f>
        <v/>
      </c>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row>
    <row r="46" ht="22" customHeight="1">
      <c r="A46" s="4" t="n">
        <v>43</v>
      </c>
      <c r="B46" s="6" t="n"/>
      <c r="C46" s="7">
        <f>IF(E46="","",UPPER(LEFT(D46,3))&amp;"-"&amp;TEXT(43,"000"))</f>
        <v/>
      </c>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c r="AA46" s="6" t="n"/>
      <c r="AB46" s="6" t="n"/>
      <c r="AC46" s="6" t="n"/>
      <c r="AD46" s="6" t="n"/>
      <c r="AE46" s="6" t="n"/>
      <c r="AF46" s="6" t="n"/>
      <c r="AG46" s="6" t="n"/>
      <c r="AH46" s="6" t="n"/>
      <c r="AI46" s="6" t="n"/>
    </row>
    <row r="47" ht="22" customHeight="1">
      <c r="A47" s="8" t="n">
        <v>44</v>
      </c>
      <c r="B47" s="10" t="n"/>
      <c r="C47" s="11">
        <f>IF(E47="","",UPPER(LEFT(D47,3))&amp;"-"&amp;TEXT(44,"000"))</f>
        <v/>
      </c>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c r="AH47" s="10" t="n"/>
      <c r="AI47" s="10" t="n"/>
    </row>
    <row r="48" ht="22" customHeight="1">
      <c r="A48" s="4" t="n">
        <v>45</v>
      </c>
      <c r="B48" s="6" t="n"/>
      <c r="C48" s="7">
        <f>IF(E48="","",UPPER(LEFT(D48,3))&amp;"-"&amp;TEXT(45,"000"))</f>
        <v/>
      </c>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c r="AA48" s="6" t="n"/>
      <c r="AB48" s="6" t="n"/>
      <c r="AC48" s="6" t="n"/>
      <c r="AD48" s="6" t="n"/>
      <c r="AE48" s="6" t="n"/>
      <c r="AF48" s="6" t="n"/>
      <c r="AG48" s="6" t="n"/>
      <c r="AH48" s="6" t="n"/>
      <c r="AI48" s="6" t="n"/>
    </row>
    <row r="49" ht="22" customHeight="1">
      <c r="A49" s="8" t="n">
        <v>46</v>
      </c>
      <c r="B49" s="10" t="n"/>
      <c r="C49" s="11">
        <f>IF(E49="","",UPPER(LEFT(D49,3))&amp;"-"&amp;TEXT(46,"000"))</f>
        <v/>
      </c>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c r="AH49" s="10" t="n"/>
      <c r="AI49" s="10" t="n"/>
    </row>
    <row r="50" ht="22" customHeight="1">
      <c r="A50" s="4" t="n">
        <v>47</v>
      </c>
      <c r="B50" s="6" t="n"/>
      <c r="C50" s="7">
        <f>IF(E50="","",UPPER(LEFT(D50,3))&amp;"-"&amp;TEXT(47,"000"))</f>
        <v/>
      </c>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c r="AA50" s="6" t="n"/>
      <c r="AB50" s="6" t="n"/>
      <c r="AC50" s="6" t="n"/>
      <c r="AD50" s="6" t="n"/>
      <c r="AE50" s="6" t="n"/>
      <c r="AF50" s="6" t="n"/>
      <c r="AG50" s="6" t="n"/>
      <c r="AH50" s="6" t="n"/>
      <c r="AI50" s="6" t="n"/>
    </row>
    <row r="51" ht="22" customHeight="1">
      <c r="A51" s="8" t="n">
        <v>48</v>
      </c>
      <c r="B51" s="10" t="n"/>
      <c r="C51" s="11">
        <f>IF(E51="","",UPPER(LEFT(D51,3))&amp;"-"&amp;TEXT(48,"000"))</f>
        <v/>
      </c>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c r="AD51" s="10" t="n"/>
      <c r="AE51" s="10" t="n"/>
      <c r="AF51" s="10" t="n"/>
      <c r="AG51" s="10" t="n"/>
      <c r="AH51" s="10" t="n"/>
      <c r="AI51" s="10" t="n"/>
    </row>
    <row r="52" ht="22" customHeight="1">
      <c r="A52" s="4" t="n">
        <v>49</v>
      </c>
      <c r="B52" s="6" t="n"/>
      <c r="C52" s="7">
        <f>IF(E52="","",UPPER(LEFT(D52,3))&amp;"-"&amp;TEXT(49,"000"))</f>
        <v/>
      </c>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c r="AA52" s="6" t="n"/>
      <c r="AB52" s="6" t="n"/>
      <c r="AC52" s="6" t="n"/>
      <c r="AD52" s="6" t="n"/>
      <c r="AE52" s="6" t="n"/>
      <c r="AF52" s="6" t="n"/>
      <c r="AG52" s="6" t="n"/>
      <c r="AH52" s="6" t="n"/>
      <c r="AI52" s="6" t="n"/>
    </row>
    <row r="53" ht="22" customHeight="1">
      <c r="A53" s="8" t="n">
        <v>50</v>
      </c>
      <c r="B53" s="10" t="n"/>
      <c r="C53" s="11">
        <f>IF(E53="","",UPPER(LEFT(D53,3))&amp;"-"&amp;TEXT(50,"000"))</f>
        <v/>
      </c>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c r="AF53" s="10" t="n"/>
      <c r="AG53" s="10" t="n"/>
      <c r="AH53" s="10" t="n"/>
      <c r="AI53" s="10" t="n"/>
    </row>
  </sheetData>
  <mergeCells count="2">
    <mergeCell ref="A2:AI2"/>
    <mergeCell ref="A1:AI1"/>
  </mergeCells>
  <conditionalFormatting sqref="AC4:AC53">
    <cfRule type="containsText" priority="1" operator="containsText" dxfId="0" text="Approved">
      <formula>NOT(ISERROR(SEARCH("Approved",AC4)))</formula>
    </cfRule>
    <cfRule type="containsText" priority="2" operator="containsText" dxfId="0" text="Published">
      <formula>NOT(ISERROR(SEARCH("Published",AC4)))</formula>
    </cfRule>
    <cfRule type="containsText" priority="3" operator="containsText" dxfId="0" text="Live">
      <formula>NOT(ISERROR(SEARCH("Live",AC4)))</formula>
    </cfRule>
    <cfRule type="containsText" priority="4" operator="containsText" dxfId="1" text="Cancelled">
      <formula>NOT(ISERROR(SEARCH("Cancelled",AC4)))</formula>
    </cfRule>
    <cfRule type="containsText" priority="5" operator="containsText" dxfId="1" text="Rejected">
      <formula>NOT(ISERROR(SEARCH("Rejected",AC4)))</formula>
    </cfRule>
    <cfRule type="containsText" priority="6" operator="containsText" dxfId="2" text="On Hold">
      <formula>NOT(ISERROR(SEARCH("On Hold",AC4)))</formula>
    </cfRule>
    <cfRule type="containsText" priority="7" operator="containsText" dxfId="2" text="Revision">
      <formula>NOT(ISERROR(SEARCH("Revision",AC4)))</formula>
    </cfRule>
    <cfRule type="containsText" priority="8" operator="containsText" dxfId="2" text="Changes">
      <formula>NOT(ISERROR(SEARCH("Changes",AC4)))</formula>
    </cfRule>
  </conditionalFormatting>
  <conditionalFormatting sqref="AD4:AD53">
    <cfRule type="containsText" priority="9" operator="containsText" dxfId="0" text="Approved">
      <formula>NOT(ISERROR(SEARCH("Approved",AD4)))</formula>
    </cfRule>
    <cfRule type="containsText" priority="10" operator="containsText" dxfId="1" text="Rejected">
      <formula>NOT(ISERROR(SEARCH("Rejected",AD4)))</formula>
    </cfRule>
    <cfRule type="containsText" priority="11" operator="containsText" dxfId="2" text="Changes">
      <formula>NOT(ISERROR(SEARCH("Changes",AD4)))</formula>
    </cfRule>
  </conditionalFormatting>
  <conditionalFormatting sqref="AE4:AE53">
    <cfRule type="containsText" priority="12" operator="containsText" dxfId="0" text="Approved">
      <formula>NOT(ISERROR(SEARCH("Approved",AE4)))</formula>
    </cfRule>
    <cfRule type="containsText" priority="13" operator="containsText" dxfId="1" text="Rejected">
      <formula>NOT(ISERROR(SEARCH("Rejected",AE4)))</formula>
    </cfRule>
    <cfRule type="containsText" priority="14" operator="containsText" dxfId="2" text="Changes">
      <formula>NOT(ISERROR(SEARCH("Changes",AE4)))</formula>
    </cfRule>
  </conditionalFormatting>
  <dataValidations count="12">
    <dataValidation sqref="D4:D53" showDropDown="0" showInputMessage="1" showErrorMessage="1" allowBlank="1" errorTitle="Invalid" error="Select from list." promptTitle="Vertical" prompt="Select vertical." type="list">
      <formula1>"Digital Transformation,Industrial Goods &amp; Consumer Products,Structural Engineering,MedTech,Energy &amp; Utilities,Sustainability,BFSI,Product Innovation,SolidPro AI,Other"</formula1>
    </dataValidation>
    <dataValidation sqref="AB4:AB53" showDropDown="0" showInputMessage="1" showErrorMessage="1" allowBlank="1" errorTitle="Invalid" error="Select from list." promptTitle="Priority" prompt="Urgency level." type="list">
      <formula1>"🔴 Critical,🟠 High,🟡 Medium,🟢 Low"</formula1>
    </dataValidation>
    <dataValidation sqref="AC4:AC53" showDropDown="0" showInputMessage="1" showErrorMessage="1" allowBlank="1" errorTitle="Invalid" error="Select from list." promptTitle="Status" prompt="Workflow status." type="list">
      <formula1>"📋 Briefed,✍ In Progress,🔁 In Revision,✅ Approved by Project Head,✅ Approved by Manager,🚀 Published / Live,⏸ On Hold,❌ Cancelled"</formula1>
    </dataValidation>
    <dataValidation sqref="AD4:AD53" showDropDown="0" showInputMessage="1" showErrorMessage="1" allowBlank="1" errorTitle="Invalid" error="Select from list." promptTitle="Project Head" prompt="Approval from Project Head." type="list">
      <formula1>"⏳ Pending,✅ Approved,🔁 Changes Requested,❌ Rejected"</formula1>
    </dataValidation>
    <dataValidation sqref="AE4:AE53" showDropDown="0" showInputMessage="1" showErrorMessage="1" allowBlank="1" errorTitle="Invalid" error="Select from list." promptTitle="Manager" prompt="Approval from Manager." type="list">
      <formula1>"⏳ Pending,✅ Approved,🔁 Changes Requested,❌ Rejected"</formula1>
    </dataValidation>
    <dataValidation sqref="AI4:AI53" showDropDown="0" showInputMessage="1" showErrorMessage="1" allowBlank="1" errorTitle="Invalid" error="Select from list." promptTitle="Archived" prompt="Mark Yes when done." type="list">
      <formula1>"No,Yes"</formula1>
    </dataValidation>
    <dataValidation sqref="Y4:Y53" showDropDown="0" showInputMessage="1" showErrorMessage="1" allowBlank="1" errorTitle="Invalid Date" error="Enter a valid date." promptTitle="Enter Date" prompt="Format: DD-MM-YYYY" type="date" operator="greaterThan">
      <formula1>DATE(2024,1,1)</formula1>
    </dataValidation>
    <dataValidation sqref="Z4:Z53" showDropDown="0" showInputMessage="1" showErrorMessage="1" allowBlank="1" errorTitle="Invalid Date" error="Enter a valid date." promptTitle="Enter Date" prompt="Format: DD-MM-YYYY" type="date" operator="greaterThan">
      <formula1>DATE(2024,1,1)</formula1>
    </dataValidation>
    <dataValidation sqref="AA4:AA53" showDropDown="0" showInputMessage="1" showErrorMessage="1" allowBlank="1" errorTitle="Invalid Date" error="Enter a valid date." promptTitle="Enter Date" prompt="Format: DD-MM-YYYY" type="date" operator="greaterThan">
      <formula1>DATE(2024,1,1)</formula1>
    </dataValidation>
    <dataValidation sqref="H4:H53" showDropDown="0" showInputMessage="1" showErrorMessage="1" allowBlank="1" errorTitle="Invalid" error="Select from list." promptTitle="LP Type" prompt="Type of landing page." type="list">
      <formula1>"Lead Gen,Campaign,Product / Service,Event,Webinar,Resource Download,Assessment,Free Trial,Contact,Other"</formula1>
    </dataValidation>
    <dataValidation sqref="T4:T53" showDropDown="0" showInputMessage="1" showErrorMessage="1" allowBlank="1" errorTitle="Invalid" error="Select from list." promptTitle="A/B Test" prompt="Is A/B testing planned?" type="list">
      <formula1>"No,Yes – Planned,Yes – Active,Yes – Concluded"</formula1>
    </dataValidation>
    <dataValidation sqref="G4:G53" showDropDown="0" showInputMessage="1" showErrorMessage="1" allowBlank="1" errorTitle="Invalid" error="Select from list." promptTitle="Page Goal" prompt="Primary conversion goal." type="list">
      <formula1>"Lead Capture,Demo Request,Content Download,Event Registration,Product Enquiry,Newsletter Signup,Other"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53"/>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6" customWidth="1" min="2" max="2"/>
    <col width="14" customWidth="1" min="3" max="3"/>
    <col width="22" customWidth="1" min="4" max="4"/>
    <col width="32" customWidth="1" min="5" max="5"/>
    <col width="22" customWidth="1" min="6" max="6"/>
    <col width="36" customWidth="1" min="7" max="7"/>
    <col width="26" customWidth="1" min="8" max="8"/>
    <col width="18" customWidth="1" min="9" max="9"/>
    <col width="22" customWidth="1" min="10" max="10"/>
    <col width="16" customWidth="1" min="11" max="11"/>
    <col width="24" customWidth="1" min="12" max="12"/>
    <col width="22" customWidth="1" min="13" max="13"/>
    <col width="18" customWidth="1" min="14" max="14"/>
    <col width="30" customWidth="1" min="15" max="15"/>
    <col width="28" customWidth="1" min="16" max="16"/>
    <col width="16" customWidth="1" min="17" max="17"/>
    <col width="16" customWidth="1" min="18" max="18"/>
    <col width="22" customWidth="1" min="19" max="19"/>
    <col width="20" customWidth="1" min="20" max="20"/>
    <col width="20" customWidth="1" min="21" max="21"/>
    <col width="14" customWidth="1" min="22" max="22"/>
    <col width="14" customWidth="1" min="23" max="23"/>
    <col width="14" customWidth="1" min="24" max="24"/>
    <col width="13" customWidth="1" min="25" max="25"/>
    <col width="26" customWidth="1" min="26" max="26"/>
    <col width="26" customWidth="1" min="27" max="27"/>
    <col width="22" customWidth="1" min="28" max="28"/>
    <col width="30" customWidth="1" min="29" max="29"/>
    <col width="12" customWidth="1" min="30" max="30"/>
    <col width="36" customWidth="1" min="31" max="31"/>
    <col width="12" customWidth="1" min="32" max="32"/>
  </cols>
  <sheetData>
    <row r="1" ht="34" customHeight="1">
      <c r="A1" s="16" t="inlineStr">
        <is>
          <t>SolidPro — Content Writing Tracker</t>
        </is>
      </c>
    </row>
    <row r="2" ht="16" customHeight="1">
      <c r="A2" s="2" t="inlineStr">
        <is>
          <t>Link each row to a Campaign ID from the Campaign Master sheet  |  * = Mandatory</t>
        </is>
      </c>
    </row>
    <row r="3" ht="30" customHeight="1">
      <c r="A3" s="17" t="inlineStr">
        <is>
          <t>S.No</t>
        </is>
      </c>
      <c r="B3" s="17" t="inlineStr">
        <is>
          <t>Campaign ID *</t>
        </is>
      </c>
      <c r="C3" s="17" t="inlineStr">
        <is>
          <t>Asset ID</t>
        </is>
      </c>
      <c r="D3" s="17" t="inlineStr">
        <is>
          <t>Vertical *</t>
        </is>
      </c>
      <c r="E3" s="17" t="inlineStr">
        <is>
          <t>Asset Name / Title *</t>
        </is>
      </c>
      <c r="F3" s="17" t="inlineStr">
        <is>
          <t>Content Format</t>
        </is>
      </c>
      <c r="G3" s="17" t="inlineStr">
        <is>
          <t>Topic / Working Title</t>
        </is>
      </c>
      <c r="H3" s="17" t="inlineStr">
        <is>
          <t>Target Keyword(s)</t>
        </is>
      </c>
      <c r="I3" s="17" t="inlineStr">
        <is>
          <t>Word Count (Target)</t>
        </is>
      </c>
      <c r="J3" s="17" t="inlineStr">
        <is>
          <t>Audience Persona</t>
        </is>
      </c>
      <c r="K3" s="17" t="inlineStr">
        <is>
          <t>Funnel Stage</t>
        </is>
      </c>
      <c r="L3" s="17" t="inlineStr">
        <is>
          <t>Linked Asset IDs</t>
        </is>
      </c>
      <c r="M3" s="17" t="inlineStr">
        <is>
          <t>Linked Landing Page ID</t>
        </is>
      </c>
      <c r="N3" s="17" t="inlineStr">
        <is>
          <t>Tone of Voice</t>
        </is>
      </c>
      <c r="O3" s="17" t="inlineStr">
        <is>
          <t>References / Resources</t>
        </is>
      </c>
      <c r="P3" s="17" t="inlineStr">
        <is>
          <t>Draft Link</t>
        </is>
      </c>
      <c r="Q3" s="17" t="inlineStr">
        <is>
          <t>SEO Optimised?</t>
        </is>
      </c>
      <c r="R3" s="17" t="inlineStr">
        <is>
          <t>CMS Published?</t>
        </is>
      </c>
      <c r="S3" s="17" t="inlineStr">
        <is>
          <t>Owner *</t>
        </is>
      </c>
      <c r="T3" s="17" t="inlineStr">
        <is>
          <t>Support</t>
        </is>
      </c>
      <c r="U3" s="17" t="inlineStr">
        <is>
          <t>Requested By</t>
        </is>
      </c>
      <c r="V3" s="17" t="inlineStr">
        <is>
          <t>Brief Date</t>
        </is>
      </c>
      <c r="W3" s="17" t="inlineStr">
        <is>
          <t>Due Date *</t>
        </is>
      </c>
      <c r="X3" s="17" t="inlineStr">
        <is>
          <t>Pub / Post Date *</t>
        </is>
      </c>
      <c r="Y3" s="17" t="inlineStr">
        <is>
          <t>Priority</t>
        </is>
      </c>
      <c r="Z3" s="17" t="inlineStr">
        <is>
          <t>Status</t>
        </is>
      </c>
      <c r="AA3" s="17" t="inlineStr">
        <is>
          <t>Approved by Project Head</t>
        </is>
      </c>
      <c r="AB3" s="17" t="inlineStr">
        <is>
          <t>Approved by Manager</t>
        </is>
      </c>
      <c r="AC3" s="17" t="inlineStr">
        <is>
          <t>Final File / URL Link</t>
        </is>
      </c>
      <c r="AD3" s="17" t="inlineStr">
        <is>
          <t>Revision #</t>
        </is>
      </c>
      <c r="AE3" s="17" t="inlineStr">
        <is>
          <t>Feedback / Notes</t>
        </is>
      </c>
      <c r="AF3" s="17" t="inlineStr">
        <is>
          <t>Archived?</t>
        </is>
      </c>
    </row>
    <row r="4" ht="22" customHeight="1">
      <c r="A4" s="4" t="n">
        <v>1</v>
      </c>
      <c r="B4" s="6" t="n"/>
      <c r="C4" s="7">
        <f>IF(E4="","",UPPER(LEFT(D4,3))&amp;"-"&amp;TEXT(1,"000"))</f>
        <v/>
      </c>
      <c r="D4" s="6" t="n"/>
      <c r="E4" s="6" t="n"/>
      <c r="F4" s="6" t="n"/>
      <c r="G4" s="6" t="n"/>
      <c r="H4" s="6" t="n"/>
      <c r="I4" s="6" t="n"/>
      <c r="J4" s="6" t="n"/>
      <c r="K4" s="6" t="n"/>
      <c r="L4" s="6" t="n"/>
      <c r="M4" s="6" t="n"/>
      <c r="N4" s="6" t="n"/>
      <c r="O4" s="6" t="n"/>
      <c r="P4" s="6" t="n"/>
      <c r="Q4" s="6" t="n"/>
      <c r="R4" s="6" t="n"/>
      <c r="S4" s="6" t="n"/>
      <c r="T4" s="6" t="n"/>
      <c r="U4" s="6" t="n"/>
      <c r="V4" s="6" t="n"/>
      <c r="W4" s="6" t="n"/>
      <c r="X4" s="6" t="n"/>
      <c r="Y4" s="6" t="n"/>
      <c r="Z4" s="6" t="n"/>
      <c r="AA4" s="6" t="n"/>
      <c r="AB4" s="6" t="n"/>
      <c r="AC4" s="6" t="n"/>
      <c r="AD4" s="6" t="n"/>
      <c r="AE4" s="6" t="n"/>
      <c r="AF4" s="6" t="n"/>
    </row>
    <row r="5" ht="22" customHeight="1">
      <c r="A5" s="8" t="n">
        <v>2</v>
      </c>
      <c r="B5" s="10" t="n"/>
      <c r="C5" s="11">
        <f>IF(E5="","",UPPER(LEFT(D5,3))&amp;"-"&amp;TEXT(2,"000"))</f>
        <v/>
      </c>
      <c r="D5" s="10" t="n"/>
      <c r="E5" s="10" t="n"/>
      <c r="F5" s="10" t="n"/>
      <c r="G5" s="10" t="n"/>
      <c r="H5" s="10" t="n"/>
      <c r="I5" s="10" t="n"/>
      <c r="J5" s="10" t="n"/>
      <c r="K5" s="10" t="n"/>
      <c r="L5" s="10" t="n"/>
      <c r="M5" s="10" t="n"/>
      <c r="N5" s="10" t="n"/>
      <c r="O5" s="10" t="n"/>
      <c r="P5" s="10" t="n"/>
      <c r="Q5" s="10" t="n"/>
      <c r="R5" s="10" t="n"/>
      <c r="S5" s="10" t="n"/>
      <c r="T5" s="10" t="n"/>
      <c r="U5" s="10" t="n"/>
      <c r="V5" s="10" t="n"/>
      <c r="W5" s="10" t="n"/>
      <c r="X5" s="10" t="n"/>
      <c r="Y5" s="10" t="n"/>
      <c r="Z5" s="10" t="n"/>
      <c r="AA5" s="10" t="n"/>
      <c r="AB5" s="10" t="n"/>
      <c r="AC5" s="10" t="n"/>
      <c r="AD5" s="10" t="n"/>
      <c r="AE5" s="10" t="n"/>
      <c r="AF5" s="10" t="n"/>
    </row>
    <row r="6" ht="22" customHeight="1">
      <c r="A6" s="4" t="n">
        <v>3</v>
      </c>
      <c r="B6" s="6" t="n"/>
      <c r="C6" s="7">
        <f>IF(E6="","",UPPER(LEFT(D6,3))&amp;"-"&amp;TEXT(3,"000"))</f>
        <v/>
      </c>
      <c r="D6" s="6" t="n"/>
      <c r="E6" s="6" t="n"/>
      <c r="F6" s="6" t="n"/>
      <c r="G6" s="6" t="n"/>
      <c r="H6" s="6" t="n"/>
      <c r="I6" s="6" t="n"/>
      <c r="J6" s="6" t="n"/>
      <c r="K6" s="6" t="n"/>
      <c r="L6" s="6" t="n"/>
      <c r="M6" s="6" t="n"/>
      <c r="N6" s="6" t="n"/>
      <c r="O6" s="6" t="n"/>
      <c r="P6" s="6" t="n"/>
      <c r="Q6" s="6" t="n"/>
      <c r="R6" s="6" t="n"/>
      <c r="S6" s="6" t="n"/>
      <c r="T6" s="6" t="n"/>
      <c r="U6" s="6" t="n"/>
      <c r="V6" s="6" t="n"/>
      <c r="W6" s="6" t="n"/>
      <c r="X6" s="6" t="n"/>
      <c r="Y6" s="6" t="n"/>
      <c r="Z6" s="6" t="n"/>
      <c r="AA6" s="6" t="n"/>
      <c r="AB6" s="6" t="n"/>
      <c r="AC6" s="6" t="n"/>
      <c r="AD6" s="6" t="n"/>
      <c r="AE6" s="6" t="n"/>
      <c r="AF6" s="6" t="n"/>
    </row>
    <row r="7" ht="22" customHeight="1">
      <c r="A7" s="8" t="n">
        <v>4</v>
      </c>
      <c r="B7" s="10" t="n"/>
      <c r="C7" s="11">
        <f>IF(E7="","",UPPER(LEFT(D7,3))&amp;"-"&amp;TEXT(4,"000"))</f>
        <v/>
      </c>
      <c r="D7" s="10" t="n"/>
      <c r="E7" s="10"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row>
    <row r="8" ht="22" customHeight="1">
      <c r="A8" s="4" t="n">
        <v>5</v>
      </c>
      <c r="B8" s="6" t="n"/>
      <c r="C8" s="7">
        <f>IF(E8="","",UPPER(LEFT(D8,3))&amp;"-"&amp;TEXT(5,"000"))</f>
        <v/>
      </c>
      <c r="D8" s="6" t="n"/>
      <c r="E8" s="6" t="n"/>
      <c r="F8" s="6" t="n"/>
      <c r="G8" s="6"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row>
    <row r="9" ht="22" customHeight="1">
      <c r="A9" s="8" t="n">
        <v>6</v>
      </c>
      <c r="B9" s="10" t="n"/>
      <c r="C9" s="11">
        <f>IF(E9="","",UPPER(LEFT(D9,3))&amp;"-"&amp;TEXT(6,"000"))</f>
        <v/>
      </c>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row>
    <row r="10" ht="22" customHeight="1">
      <c r="A10" s="4" t="n">
        <v>7</v>
      </c>
      <c r="B10" s="6" t="n"/>
      <c r="C10" s="7">
        <f>IF(E10="","",UPPER(LEFT(D10,3))&amp;"-"&amp;TEXT(7,"000"))</f>
        <v/>
      </c>
      <c r="D10" s="6" t="n"/>
      <c r="E10" s="6" t="n"/>
      <c r="F10" s="6"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n"/>
    </row>
    <row r="11" ht="22" customHeight="1">
      <c r="A11" s="8" t="n">
        <v>8</v>
      </c>
      <c r="B11" s="10" t="n"/>
      <c r="C11" s="11">
        <f>IF(E11="","",UPPER(LEFT(D11,3))&amp;"-"&amp;TEXT(8,"000"))</f>
        <v/>
      </c>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row>
    <row r="12" ht="22" customHeight="1">
      <c r="A12" s="4" t="n">
        <v>9</v>
      </c>
      <c r="B12" s="6" t="n"/>
      <c r="C12" s="7">
        <f>IF(E12="","",UPPER(LEFT(D12,3))&amp;"-"&amp;TEXT(9,"000"))</f>
        <v/>
      </c>
      <c r="D12" s="6" t="n"/>
      <c r="E12" s="6" t="n"/>
      <c r="F12" s="6"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c r="AE12" s="6" t="n"/>
      <c r="AF12" s="6" t="n"/>
    </row>
    <row r="13" ht="22" customHeight="1">
      <c r="A13" s="8" t="n">
        <v>10</v>
      </c>
      <c r="B13" s="10" t="n"/>
      <c r="C13" s="11">
        <f>IF(E13="","",UPPER(LEFT(D13,3))&amp;"-"&amp;TEXT(10,"000"))</f>
        <v/>
      </c>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row>
    <row r="14" ht="22" customHeight="1">
      <c r="A14" s="4" t="n">
        <v>11</v>
      </c>
      <c r="B14" s="6" t="n"/>
      <c r="C14" s="7">
        <f>IF(E14="","",UPPER(LEFT(D14,3))&amp;"-"&amp;TEXT(11,"000"))</f>
        <v/>
      </c>
      <c r="D14" s="6" t="n"/>
      <c r="E14" s="6" t="n"/>
      <c r="F14" s="6"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row>
    <row r="15" ht="22" customHeight="1">
      <c r="A15" s="8" t="n">
        <v>12</v>
      </c>
      <c r="B15" s="10" t="n"/>
      <c r="C15" s="11">
        <f>IF(E15="","",UPPER(LEFT(D15,3))&amp;"-"&amp;TEXT(12,"000"))</f>
        <v/>
      </c>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c r="AD15" s="10" t="n"/>
      <c r="AE15" s="10" t="n"/>
      <c r="AF15" s="10" t="n"/>
    </row>
    <row r="16" ht="22" customHeight="1">
      <c r="A16" s="4" t="n">
        <v>13</v>
      </c>
      <c r="B16" s="6" t="n"/>
      <c r="C16" s="7">
        <f>IF(E16="","",UPPER(LEFT(D16,3))&amp;"-"&amp;TEXT(13,"000"))</f>
        <v/>
      </c>
      <c r="D16" s="6" t="n"/>
      <c r="E16" s="6" t="n"/>
      <c r="F16" s="6" t="n"/>
      <c r="G16" s="6" t="n"/>
      <c r="H16" s="6" t="n"/>
      <c r="I16" s="6" t="n"/>
      <c r="J16" s="6" t="n"/>
      <c r="K16" s="6" t="n"/>
      <c r="L16" s="6" t="n"/>
      <c r="M16" s="6" t="n"/>
      <c r="N16" s="6" t="n"/>
      <c r="O16" s="6" t="n"/>
      <c r="P16" s="6" t="n"/>
      <c r="Q16" s="6" t="n"/>
      <c r="R16" s="6" t="n"/>
      <c r="S16" s="6" t="n"/>
      <c r="T16" s="6" t="n"/>
      <c r="U16" s="6" t="n"/>
      <c r="V16" s="6" t="n"/>
      <c r="W16" s="6" t="n"/>
      <c r="X16" s="6" t="n"/>
      <c r="Y16" s="6" t="n"/>
      <c r="Z16" s="6" t="n"/>
      <c r="AA16" s="6" t="n"/>
      <c r="AB16" s="6" t="n"/>
      <c r="AC16" s="6" t="n"/>
      <c r="AD16" s="6" t="n"/>
      <c r="AE16" s="6" t="n"/>
      <c r="AF16" s="6" t="n"/>
    </row>
    <row r="17" ht="22" customHeight="1">
      <c r="A17" s="8" t="n">
        <v>14</v>
      </c>
      <c r="B17" s="10" t="n"/>
      <c r="C17" s="11">
        <f>IF(E17="","",UPPER(LEFT(D17,3))&amp;"-"&amp;TEXT(14,"000"))</f>
        <v/>
      </c>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10" t="n"/>
      <c r="AC17" s="10" t="n"/>
      <c r="AD17" s="10" t="n"/>
      <c r="AE17" s="10" t="n"/>
      <c r="AF17" s="10" t="n"/>
    </row>
    <row r="18" ht="22" customHeight="1">
      <c r="A18" s="4" t="n">
        <v>15</v>
      </c>
      <c r="B18" s="6" t="n"/>
      <c r="C18" s="7">
        <f>IF(E18="","",UPPER(LEFT(D18,3))&amp;"-"&amp;TEXT(15,"000"))</f>
        <v/>
      </c>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c r="Z18" s="6" t="n"/>
      <c r="AA18" s="6" t="n"/>
      <c r="AB18" s="6" t="n"/>
      <c r="AC18" s="6" t="n"/>
      <c r="AD18" s="6" t="n"/>
      <c r="AE18" s="6" t="n"/>
      <c r="AF18" s="6" t="n"/>
    </row>
    <row r="19" ht="22" customHeight="1">
      <c r="A19" s="8" t="n">
        <v>16</v>
      </c>
      <c r="B19" s="10" t="n"/>
      <c r="C19" s="11">
        <f>IF(E19="","",UPPER(LEFT(D19,3))&amp;"-"&amp;TEXT(16,"000"))</f>
        <v/>
      </c>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row>
    <row r="20" ht="22" customHeight="1">
      <c r="A20" s="4" t="n">
        <v>17</v>
      </c>
      <c r="B20" s="6" t="n"/>
      <c r="C20" s="7">
        <f>IF(E20="","",UPPER(LEFT(D20,3))&amp;"-"&amp;TEXT(17,"000"))</f>
        <v/>
      </c>
      <c r="D20" s="6" t="n"/>
      <c r="E20" s="6" t="n"/>
      <c r="F20" s="6" t="n"/>
      <c r="G20" s="6" t="n"/>
      <c r="H20" s="6" t="n"/>
      <c r="I20" s="6" t="n"/>
      <c r="J20" s="6" t="n"/>
      <c r="K20" s="6" t="n"/>
      <c r="L20" s="6" t="n"/>
      <c r="M20" s="6" t="n"/>
      <c r="N20" s="6" t="n"/>
      <c r="O20" s="6" t="n"/>
      <c r="P20" s="6" t="n"/>
      <c r="Q20" s="6" t="n"/>
      <c r="R20" s="6" t="n"/>
      <c r="S20" s="6" t="n"/>
      <c r="T20" s="6" t="n"/>
      <c r="U20" s="6" t="n"/>
      <c r="V20" s="6" t="n"/>
      <c r="W20" s="6" t="n"/>
      <c r="X20" s="6" t="n"/>
      <c r="Y20" s="6" t="n"/>
      <c r="Z20" s="6" t="n"/>
      <c r="AA20" s="6" t="n"/>
      <c r="AB20" s="6" t="n"/>
      <c r="AC20" s="6" t="n"/>
      <c r="AD20" s="6" t="n"/>
      <c r="AE20" s="6" t="n"/>
      <c r="AF20" s="6" t="n"/>
    </row>
    <row r="21" ht="22" customHeight="1">
      <c r="A21" s="8" t="n">
        <v>18</v>
      </c>
      <c r="B21" s="10" t="n"/>
      <c r="C21" s="11">
        <f>IF(E21="","",UPPER(LEFT(D21,3))&amp;"-"&amp;TEXT(18,"000"))</f>
        <v/>
      </c>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row>
    <row r="22" ht="22" customHeight="1">
      <c r="A22" s="4" t="n">
        <v>19</v>
      </c>
      <c r="B22" s="6" t="n"/>
      <c r="C22" s="7">
        <f>IF(E22="","",UPPER(LEFT(D22,3))&amp;"-"&amp;TEXT(19,"000"))</f>
        <v/>
      </c>
      <c r="D22" s="6" t="n"/>
      <c r="E22" s="6" t="n"/>
      <c r="F22" s="6" t="n"/>
      <c r="G22" s="6" t="n"/>
      <c r="H22" s="6" t="n"/>
      <c r="I22" s="6" t="n"/>
      <c r="J22" s="6" t="n"/>
      <c r="K22" s="6" t="n"/>
      <c r="L22" s="6" t="n"/>
      <c r="M22" s="6" t="n"/>
      <c r="N22" s="6" t="n"/>
      <c r="O22" s="6" t="n"/>
      <c r="P22" s="6" t="n"/>
      <c r="Q22" s="6" t="n"/>
      <c r="R22" s="6" t="n"/>
      <c r="S22" s="6" t="n"/>
      <c r="T22" s="6" t="n"/>
      <c r="U22" s="6" t="n"/>
      <c r="V22" s="6" t="n"/>
      <c r="W22" s="6" t="n"/>
      <c r="X22" s="6" t="n"/>
      <c r="Y22" s="6" t="n"/>
      <c r="Z22" s="6" t="n"/>
      <c r="AA22" s="6" t="n"/>
      <c r="AB22" s="6" t="n"/>
      <c r="AC22" s="6" t="n"/>
      <c r="AD22" s="6" t="n"/>
      <c r="AE22" s="6" t="n"/>
      <c r="AF22" s="6" t="n"/>
    </row>
    <row r="23" ht="22" customHeight="1">
      <c r="A23" s="8" t="n">
        <v>20</v>
      </c>
      <c r="B23" s="10" t="n"/>
      <c r="C23" s="11">
        <f>IF(E23="","",UPPER(LEFT(D23,3))&amp;"-"&amp;TEXT(20,"000"))</f>
        <v/>
      </c>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c r="AF23" s="10" t="n"/>
    </row>
    <row r="24" ht="22" customHeight="1">
      <c r="A24" s="4" t="n">
        <v>21</v>
      </c>
      <c r="B24" s="6" t="n"/>
      <c r="C24" s="7">
        <f>IF(E24="","",UPPER(LEFT(D24,3))&amp;"-"&amp;TEXT(21,"000"))</f>
        <v/>
      </c>
      <c r="D24" s="6" t="n"/>
      <c r="E24" s="6" t="n"/>
      <c r="F24" s="6" t="n"/>
      <c r="G24" s="6" t="n"/>
      <c r="H24" s="6" t="n"/>
      <c r="I24" s="6" t="n"/>
      <c r="J24" s="6" t="n"/>
      <c r="K24" s="6" t="n"/>
      <c r="L24" s="6" t="n"/>
      <c r="M24" s="6" t="n"/>
      <c r="N24" s="6" t="n"/>
      <c r="O24" s="6" t="n"/>
      <c r="P24" s="6" t="n"/>
      <c r="Q24" s="6" t="n"/>
      <c r="R24" s="6" t="n"/>
      <c r="S24" s="6" t="n"/>
      <c r="T24" s="6" t="n"/>
      <c r="U24" s="6" t="n"/>
      <c r="V24" s="6" t="n"/>
      <c r="W24" s="6" t="n"/>
      <c r="X24" s="6" t="n"/>
      <c r="Y24" s="6" t="n"/>
      <c r="Z24" s="6" t="n"/>
      <c r="AA24" s="6" t="n"/>
      <c r="AB24" s="6" t="n"/>
      <c r="AC24" s="6" t="n"/>
      <c r="AD24" s="6" t="n"/>
      <c r="AE24" s="6" t="n"/>
      <c r="AF24" s="6" t="n"/>
    </row>
    <row r="25" ht="22" customHeight="1">
      <c r="A25" s="8" t="n">
        <v>22</v>
      </c>
      <c r="B25" s="10" t="n"/>
      <c r="C25" s="11">
        <f>IF(E25="","",UPPER(LEFT(D25,3))&amp;"-"&amp;TEXT(22,"000"))</f>
        <v/>
      </c>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row>
    <row r="26" ht="22" customHeight="1">
      <c r="A26" s="4" t="n">
        <v>23</v>
      </c>
      <c r="B26" s="6" t="n"/>
      <c r="C26" s="7">
        <f>IF(E26="","",UPPER(LEFT(D26,3))&amp;"-"&amp;TEXT(23,"000"))</f>
        <v/>
      </c>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c r="Z26" s="6" t="n"/>
      <c r="AA26" s="6" t="n"/>
      <c r="AB26" s="6" t="n"/>
      <c r="AC26" s="6" t="n"/>
      <c r="AD26" s="6" t="n"/>
      <c r="AE26" s="6" t="n"/>
      <c r="AF26" s="6" t="n"/>
    </row>
    <row r="27" ht="22" customHeight="1">
      <c r="A27" s="8" t="n">
        <v>24</v>
      </c>
      <c r="B27" s="10" t="n"/>
      <c r="C27" s="11">
        <f>IF(E27="","",UPPER(LEFT(D27,3))&amp;"-"&amp;TEXT(24,"000"))</f>
        <v/>
      </c>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c r="AF27" s="10" t="n"/>
    </row>
    <row r="28" ht="22" customHeight="1">
      <c r="A28" s="4" t="n">
        <v>25</v>
      </c>
      <c r="B28" s="6" t="n"/>
      <c r="C28" s="7">
        <f>IF(E28="","",UPPER(LEFT(D28,3))&amp;"-"&amp;TEXT(25,"000"))</f>
        <v/>
      </c>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c r="AA28" s="6" t="n"/>
      <c r="AB28" s="6" t="n"/>
      <c r="AC28" s="6" t="n"/>
      <c r="AD28" s="6" t="n"/>
      <c r="AE28" s="6" t="n"/>
      <c r="AF28" s="6" t="n"/>
    </row>
    <row r="29" ht="22" customHeight="1">
      <c r="A29" s="8" t="n">
        <v>26</v>
      </c>
      <c r="B29" s="10" t="n"/>
      <c r="C29" s="11">
        <f>IF(E29="","",UPPER(LEFT(D29,3))&amp;"-"&amp;TEXT(26,"000"))</f>
        <v/>
      </c>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row>
    <row r="30" ht="22" customHeight="1">
      <c r="A30" s="4" t="n">
        <v>27</v>
      </c>
      <c r="B30" s="6" t="n"/>
      <c r="C30" s="7">
        <f>IF(E30="","",UPPER(LEFT(D30,3))&amp;"-"&amp;TEXT(27,"000"))</f>
        <v/>
      </c>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c r="AC30" s="6" t="n"/>
      <c r="AD30" s="6" t="n"/>
      <c r="AE30" s="6" t="n"/>
      <c r="AF30" s="6" t="n"/>
    </row>
    <row r="31" ht="22" customHeight="1">
      <c r="A31" s="8" t="n">
        <v>28</v>
      </c>
      <c r="B31" s="10" t="n"/>
      <c r="C31" s="11">
        <f>IF(E31="","",UPPER(LEFT(D31,3))&amp;"-"&amp;TEXT(28,"000"))</f>
        <v/>
      </c>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10" t="n"/>
      <c r="AC31" s="10" t="n"/>
      <c r="AD31" s="10" t="n"/>
      <c r="AE31" s="10" t="n"/>
      <c r="AF31" s="10" t="n"/>
    </row>
    <row r="32" ht="22" customHeight="1">
      <c r="A32" s="4" t="n">
        <v>29</v>
      </c>
      <c r="B32" s="6" t="n"/>
      <c r="C32" s="7">
        <f>IF(E32="","",UPPER(LEFT(D32,3))&amp;"-"&amp;TEXT(29,"000"))</f>
        <v/>
      </c>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c r="AA32" s="6" t="n"/>
      <c r="AB32" s="6" t="n"/>
      <c r="AC32" s="6" t="n"/>
      <c r="AD32" s="6" t="n"/>
      <c r="AE32" s="6" t="n"/>
      <c r="AF32" s="6" t="n"/>
    </row>
    <row r="33" ht="22" customHeight="1">
      <c r="A33" s="8" t="n">
        <v>30</v>
      </c>
      <c r="B33" s="10" t="n"/>
      <c r="C33" s="11">
        <f>IF(E33="","",UPPER(LEFT(D33,3))&amp;"-"&amp;TEXT(30,"000"))</f>
        <v/>
      </c>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c r="AD33" s="10" t="n"/>
      <c r="AE33" s="10" t="n"/>
      <c r="AF33" s="10" t="n"/>
    </row>
    <row r="34" ht="22" customHeight="1">
      <c r="A34" s="4" t="n">
        <v>31</v>
      </c>
      <c r="B34" s="6" t="n"/>
      <c r="C34" s="7">
        <f>IF(E34="","",UPPER(LEFT(D34,3))&amp;"-"&amp;TEXT(31,"000"))</f>
        <v/>
      </c>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c r="AA34" s="6" t="n"/>
      <c r="AB34" s="6" t="n"/>
      <c r="AC34" s="6" t="n"/>
      <c r="AD34" s="6" t="n"/>
      <c r="AE34" s="6" t="n"/>
      <c r="AF34" s="6" t="n"/>
    </row>
    <row r="35" ht="22" customHeight="1">
      <c r="A35" s="8" t="n">
        <v>32</v>
      </c>
      <c r="B35" s="10" t="n"/>
      <c r="C35" s="11">
        <f>IF(E35="","",UPPER(LEFT(D35,3))&amp;"-"&amp;TEXT(32,"000"))</f>
        <v/>
      </c>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row>
    <row r="36" ht="22" customHeight="1">
      <c r="A36" s="4" t="n">
        <v>33</v>
      </c>
      <c r="B36" s="6" t="n"/>
      <c r="C36" s="7">
        <f>IF(E36="","",UPPER(LEFT(D36,3))&amp;"-"&amp;TEXT(33,"000"))</f>
        <v/>
      </c>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c r="AA36" s="6" t="n"/>
      <c r="AB36" s="6" t="n"/>
      <c r="AC36" s="6" t="n"/>
      <c r="AD36" s="6" t="n"/>
      <c r="AE36" s="6" t="n"/>
      <c r="AF36" s="6" t="n"/>
    </row>
    <row r="37" ht="22" customHeight="1">
      <c r="A37" s="8" t="n">
        <v>34</v>
      </c>
      <c r="B37" s="10" t="n"/>
      <c r="C37" s="11">
        <f>IF(E37="","",UPPER(LEFT(D37,3))&amp;"-"&amp;TEXT(34,"000"))</f>
        <v/>
      </c>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c r="AE37" s="10" t="n"/>
      <c r="AF37" s="10" t="n"/>
    </row>
    <row r="38" ht="22" customHeight="1">
      <c r="A38" s="4" t="n">
        <v>35</v>
      </c>
      <c r="B38" s="6" t="n"/>
      <c r="C38" s="7">
        <f>IF(E38="","",UPPER(LEFT(D38,3))&amp;"-"&amp;TEXT(35,"000"))</f>
        <v/>
      </c>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c r="AA38" s="6" t="n"/>
      <c r="AB38" s="6" t="n"/>
      <c r="AC38" s="6" t="n"/>
      <c r="AD38" s="6" t="n"/>
      <c r="AE38" s="6" t="n"/>
      <c r="AF38" s="6" t="n"/>
    </row>
    <row r="39" ht="22" customHeight="1">
      <c r="A39" s="8" t="n">
        <v>36</v>
      </c>
      <c r="B39" s="10" t="n"/>
      <c r="C39" s="11">
        <f>IF(E39="","",UPPER(LEFT(D39,3))&amp;"-"&amp;TEXT(36,"000"))</f>
        <v/>
      </c>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c r="AD39" s="10" t="n"/>
      <c r="AE39" s="10" t="n"/>
      <c r="AF39" s="10" t="n"/>
    </row>
    <row r="40" ht="22" customHeight="1">
      <c r="A40" s="4" t="n">
        <v>37</v>
      </c>
      <c r="B40" s="6" t="n"/>
      <c r="C40" s="7">
        <f>IF(E40="","",UPPER(LEFT(D40,3))&amp;"-"&amp;TEXT(37,"000"))</f>
        <v/>
      </c>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c r="AA40" s="6" t="n"/>
      <c r="AB40" s="6" t="n"/>
      <c r="AC40" s="6" t="n"/>
      <c r="AD40" s="6" t="n"/>
      <c r="AE40" s="6" t="n"/>
      <c r="AF40" s="6" t="n"/>
    </row>
    <row r="41" ht="22" customHeight="1">
      <c r="A41" s="8" t="n">
        <v>38</v>
      </c>
      <c r="B41" s="10" t="n"/>
      <c r="C41" s="11">
        <f>IF(E41="","",UPPER(LEFT(D41,3))&amp;"-"&amp;TEXT(38,"000"))</f>
        <v/>
      </c>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c r="AD41" s="10" t="n"/>
      <c r="AE41" s="10" t="n"/>
      <c r="AF41" s="10" t="n"/>
    </row>
    <row r="42" ht="22" customHeight="1">
      <c r="A42" s="4" t="n">
        <v>39</v>
      </c>
      <c r="B42" s="6" t="n"/>
      <c r="C42" s="7">
        <f>IF(E42="","",UPPER(LEFT(D42,3))&amp;"-"&amp;TEXT(39,"000"))</f>
        <v/>
      </c>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c r="AA42" s="6" t="n"/>
      <c r="AB42" s="6" t="n"/>
      <c r="AC42" s="6" t="n"/>
      <c r="AD42" s="6" t="n"/>
      <c r="AE42" s="6" t="n"/>
      <c r="AF42" s="6" t="n"/>
    </row>
    <row r="43" ht="22" customHeight="1">
      <c r="A43" s="8" t="n">
        <v>40</v>
      </c>
      <c r="B43" s="10" t="n"/>
      <c r="C43" s="11">
        <f>IF(E43="","",UPPER(LEFT(D43,3))&amp;"-"&amp;TEXT(40,"000"))</f>
        <v/>
      </c>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row>
    <row r="44" ht="22" customHeight="1">
      <c r="A44" s="4" t="n">
        <v>41</v>
      </c>
      <c r="B44" s="6" t="n"/>
      <c r="C44" s="7">
        <f>IF(E44="","",UPPER(LEFT(D44,3))&amp;"-"&amp;TEXT(41,"000"))</f>
        <v/>
      </c>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c r="AA44" s="6" t="n"/>
      <c r="AB44" s="6" t="n"/>
      <c r="AC44" s="6" t="n"/>
      <c r="AD44" s="6" t="n"/>
      <c r="AE44" s="6" t="n"/>
      <c r="AF44" s="6" t="n"/>
    </row>
    <row r="45" ht="22" customHeight="1">
      <c r="A45" s="8" t="n">
        <v>42</v>
      </c>
      <c r="B45" s="10" t="n"/>
      <c r="C45" s="11">
        <f>IF(E45="","",UPPER(LEFT(D45,3))&amp;"-"&amp;TEXT(42,"000"))</f>
        <v/>
      </c>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row>
    <row r="46" ht="22" customHeight="1">
      <c r="A46" s="4" t="n">
        <v>43</v>
      </c>
      <c r="B46" s="6" t="n"/>
      <c r="C46" s="7">
        <f>IF(E46="","",UPPER(LEFT(D46,3))&amp;"-"&amp;TEXT(43,"000"))</f>
        <v/>
      </c>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c r="AA46" s="6" t="n"/>
      <c r="AB46" s="6" t="n"/>
      <c r="AC46" s="6" t="n"/>
      <c r="AD46" s="6" t="n"/>
      <c r="AE46" s="6" t="n"/>
      <c r="AF46" s="6" t="n"/>
    </row>
    <row r="47" ht="22" customHeight="1">
      <c r="A47" s="8" t="n">
        <v>44</v>
      </c>
      <c r="B47" s="10" t="n"/>
      <c r="C47" s="11">
        <f>IF(E47="","",UPPER(LEFT(D47,3))&amp;"-"&amp;TEXT(44,"000"))</f>
        <v/>
      </c>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row>
    <row r="48" ht="22" customHeight="1">
      <c r="A48" s="4" t="n">
        <v>45</v>
      </c>
      <c r="B48" s="6" t="n"/>
      <c r="C48" s="7">
        <f>IF(E48="","",UPPER(LEFT(D48,3))&amp;"-"&amp;TEXT(45,"000"))</f>
        <v/>
      </c>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c r="AA48" s="6" t="n"/>
      <c r="AB48" s="6" t="n"/>
      <c r="AC48" s="6" t="n"/>
      <c r="AD48" s="6" t="n"/>
      <c r="AE48" s="6" t="n"/>
      <c r="AF48" s="6" t="n"/>
    </row>
    <row r="49" ht="22" customHeight="1">
      <c r="A49" s="8" t="n">
        <v>46</v>
      </c>
      <c r="B49" s="10" t="n"/>
      <c r="C49" s="11">
        <f>IF(E49="","",UPPER(LEFT(D49,3))&amp;"-"&amp;TEXT(46,"000"))</f>
        <v/>
      </c>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row>
    <row r="50" ht="22" customHeight="1">
      <c r="A50" s="4" t="n">
        <v>47</v>
      </c>
      <c r="B50" s="6" t="n"/>
      <c r="C50" s="7">
        <f>IF(E50="","",UPPER(LEFT(D50,3))&amp;"-"&amp;TEXT(47,"000"))</f>
        <v/>
      </c>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c r="AA50" s="6" t="n"/>
      <c r="AB50" s="6" t="n"/>
      <c r="AC50" s="6" t="n"/>
      <c r="AD50" s="6" t="n"/>
      <c r="AE50" s="6" t="n"/>
      <c r="AF50" s="6" t="n"/>
    </row>
    <row r="51" ht="22" customHeight="1">
      <c r="A51" s="8" t="n">
        <v>48</v>
      </c>
      <c r="B51" s="10" t="n"/>
      <c r="C51" s="11">
        <f>IF(E51="","",UPPER(LEFT(D51,3))&amp;"-"&amp;TEXT(48,"000"))</f>
        <v/>
      </c>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c r="AD51" s="10" t="n"/>
      <c r="AE51" s="10" t="n"/>
      <c r="AF51" s="10" t="n"/>
    </row>
    <row r="52" ht="22" customHeight="1">
      <c r="A52" s="4" t="n">
        <v>49</v>
      </c>
      <c r="B52" s="6" t="n"/>
      <c r="C52" s="7">
        <f>IF(E52="","",UPPER(LEFT(D52,3))&amp;"-"&amp;TEXT(49,"000"))</f>
        <v/>
      </c>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c r="AA52" s="6" t="n"/>
      <c r="AB52" s="6" t="n"/>
      <c r="AC52" s="6" t="n"/>
      <c r="AD52" s="6" t="n"/>
      <c r="AE52" s="6" t="n"/>
      <c r="AF52" s="6" t="n"/>
    </row>
    <row r="53" ht="22" customHeight="1">
      <c r="A53" s="8" t="n">
        <v>50</v>
      </c>
      <c r="B53" s="10" t="n"/>
      <c r="C53" s="11">
        <f>IF(E53="","",UPPER(LEFT(D53,3))&amp;"-"&amp;TEXT(50,"000"))</f>
        <v/>
      </c>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c r="AF53" s="10" t="n"/>
    </row>
  </sheetData>
  <mergeCells count="2">
    <mergeCell ref="A1:AF1"/>
    <mergeCell ref="A2:AF2"/>
  </mergeCells>
  <conditionalFormatting sqref="Z4:Z53">
    <cfRule type="containsText" priority="1" operator="containsText" dxfId="0" text="Approved">
      <formula>NOT(ISERROR(SEARCH("Approved",Z4)))</formula>
    </cfRule>
    <cfRule type="containsText" priority="2" operator="containsText" dxfId="0" text="Published">
      <formula>NOT(ISERROR(SEARCH("Published",Z4)))</formula>
    </cfRule>
    <cfRule type="containsText" priority="3" operator="containsText" dxfId="0" text="Live">
      <formula>NOT(ISERROR(SEARCH("Live",Z4)))</formula>
    </cfRule>
    <cfRule type="containsText" priority="4" operator="containsText" dxfId="1" text="Cancelled">
      <formula>NOT(ISERROR(SEARCH("Cancelled",Z4)))</formula>
    </cfRule>
    <cfRule type="containsText" priority="5" operator="containsText" dxfId="1" text="Rejected">
      <formula>NOT(ISERROR(SEARCH("Rejected",Z4)))</formula>
    </cfRule>
    <cfRule type="containsText" priority="6" operator="containsText" dxfId="2" text="On Hold">
      <formula>NOT(ISERROR(SEARCH("On Hold",Z4)))</formula>
    </cfRule>
    <cfRule type="containsText" priority="7" operator="containsText" dxfId="2" text="Revision">
      <formula>NOT(ISERROR(SEARCH("Revision",Z4)))</formula>
    </cfRule>
    <cfRule type="containsText" priority="8" operator="containsText" dxfId="2" text="Changes">
      <formula>NOT(ISERROR(SEARCH("Changes",Z4)))</formula>
    </cfRule>
  </conditionalFormatting>
  <conditionalFormatting sqref="AA4:AA53">
    <cfRule type="containsText" priority="9" operator="containsText" dxfId="0" text="Approved">
      <formula>NOT(ISERROR(SEARCH("Approved",AA4)))</formula>
    </cfRule>
    <cfRule type="containsText" priority="10" operator="containsText" dxfId="1" text="Rejected">
      <formula>NOT(ISERROR(SEARCH("Rejected",AA4)))</formula>
    </cfRule>
    <cfRule type="containsText" priority="11" operator="containsText" dxfId="2" text="Changes">
      <formula>NOT(ISERROR(SEARCH("Changes",AA4)))</formula>
    </cfRule>
  </conditionalFormatting>
  <conditionalFormatting sqref="AB4:AB53">
    <cfRule type="containsText" priority="12" operator="containsText" dxfId="0" text="Approved">
      <formula>NOT(ISERROR(SEARCH("Approved",AB4)))</formula>
    </cfRule>
    <cfRule type="containsText" priority="13" operator="containsText" dxfId="1" text="Rejected">
      <formula>NOT(ISERROR(SEARCH("Rejected",AB4)))</formula>
    </cfRule>
    <cfRule type="containsText" priority="14" operator="containsText" dxfId="2" text="Changes">
      <formula>NOT(ISERROR(SEARCH("Changes",AB4)))</formula>
    </cfRule>
  </conditionalFormatting>
  <dataValidations count="14">
    <dataValidation sqref="D4:D53" showDropDown="0" showInputMessage="1" showErrorMessage="1" allowBlank="1" errorTitle="Invalid" error="Select from list." promptTitle="Vertical" prompt="Select vertical." type="list">
      <formula1>"Digital Transformation,Industrial Goods &amp; Consumer Products,Structural Engineering,MedTech,Energy &amp; Utilities,Sustainability,BFSI,Product Innovation,SolidPro AI,Other"</formula1>
    </dataValidation>
    <dataValidation sqref="Y4:Y53" showDropDown="0" showInputMessage="1" showErrorMessage="1" allowBlank="1" errorTitle="Invalid" error="Select from list." promptTitle="Priority" prompt="Urgency level." type="list">
      <formula1>"🔴 Critical,🟠 High,🟡 Medium,🟢 Low"</formula1>
    </dataValidation>
    <dataValidation sqref="Z4:Z53" showDropDown="0" showInputMessage="1" showErrorMessage="1" allowBlank="1" errorTitle="Invalid" error="Select from list." promptTitle="Status" prompt="Workflow status." type="list">
      <formula1>"📋 Briefed,✍ In Progress,🔁 In Revision,✅ Approved by Project Head,✅ Approved by Manager,🚀 Published / Live,⏸ On Hold,❌ Cancelled"</formula1>
    </dataValidation>
    <dataValidation sqref="AA4:AA53" showDropDown="0" showInputMessage="1" showErrorMessage="1" allowBlank="1" errorTitle="Invalid" error="Select from list." promptTitle="Project Head" prompt="Approval from Project Head." type="list">
      <formula1>"⏳ Pending,✅ Approved,🔁 Changes Requested,❌ Rejected"</formula1>
    </dataValidation>
    <dataValidation sqref="AB4:AB53" showDropDown="0" showInputMessage="1" showErrorMessage="1" allowBlank="1" errorTitle="Invalid" error="Select from list." promptTitle="Manager" prompt="Approval from Manager." type="list">
      <formula1>"⏳ Pending,✅ Approved,🔁 Changes Requested,❌ Rejected"</formula1>
    </dataValidation>
    <dataValidation sqref="AF4:AF53" showDropDown="0" showInputMessage="1" showErrorMessage="1" allowBlank="1" errorTitle="Invalid" error="Select from list." promptTitle="Archived" prompt="Mark Yes when done." type="list">
      <formula1>"No,Yes"</formula1>
    </dataValidation>
    <dataValidation sqref="V4:V53" showDropDown="0" showInputMessage="1" showErrorMessage="1" allowBlank="1" errorTitle="Invalid Date" error="Enter a valid date." promptTitle="Enter Date" prompt="Format: DD-MM-YYYY" type="date" operator="greaterThan">
      <formula1>DATE(2024,1,1)</formula1>
    </dataValidation>
    <dataValidation sqref="W4:W53" showDropDown="0" showInputMessage="1" showErrorMessage="1" allowBlank="1" errorTitle="Invalid Date" error="Enter a valid date." promptTitle="Enter Date" prompt="Format: DD-MM-YYYY" type="date" operator="greaterThan">
      <formula1>DATE(2024,1,1)</formula1>
    </dataValidation>
    <dataValidation sqref="X4:X53" showDropDown="0" showInputMessage="1" showErrorMessage="1" allowBlank="1" errorTitle="Invalid Date" error="Enter a valid date." promptTitle="Enter Date" prompt="Format: DD-MM-YYYY" type="date" operator="greaterThan">
      <formula1>DATE(2024,1,1)</formula1>
    </dataValidation>
    <dataValidation sqref="F4:F53" showDropDown="0" showInputMessage="1" showErrorMessage="1" allowBlank="1" errorTitle="Invalid" error="Select from list." promptTitle="Content Format" prompt="Type of written content." type="list">
      <formula1>"Blog Post,Long-Form Article,Case Study,Whitepaper,eBook,LinkedIn Article,Website Copy,Landing Page Copy,Email Copy,Script (Video),Script (Podcast),FAQs,Product Description,Press Release,Other"</formula1>
    </dataValidation>
    <dataValidation sqref="K4:K53" showDropDown="0" showInputMessage="1" showErrorMessage="1" allowBlank="1" errorTitle="Invalid" error="Select from list." promptTitle="Funnel Stage" prompt="Where this content sits in the funnel." type="list">
      <formula1>"TOFU – Awareness,MOFU – Consideration,BOFU – Decision,Retention"</formula1>
    </dataValidation>
    <dataValidation sqref="N4:N53" showDropDown="0" showInputMessage="1" showErrorMessage="1" allowBlank="1" errorTitle="Invalid" error="Select from list." promptTitle="Tone of Voice" prompt="Writing tone." type="list">
      <formula1>"Technical &amp; Authoritative,Consultative,Conversational,Inspirational,Formal"</formula1>
    </dataValidation>
    <dataValidation sqref="Q4:Q53" showDropDown="0" showInputMessage="1" showErrorMessage="1" allowBlank="1" errorTitle="Invalid" error="Select from list." promptTitle="SEO" prompt="SEO status." type="list">
      <formula1>"No,Yes – Partial,Yes – Full"</formula1>
    </dataValidation>
    <dataValidation sqref="R4:R53" showDropDown="0" showInputMessage="1" showErrorMessage="1" allowBlank="1" errorTitle="Invalid" error="Select from list." promptTitle="CMS" prompt="CMS status." type="list">
      <formula1>"No,Yes – Scheduled,Yes – Published"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53"/>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6" customWidth="1" min="2" max="2"/>
    <col width="14" customWidth="1" min="3" max="3"/>
    <col width="22" customWidth="1" min="4" max="4"/>
    <col width="32" customWidth="1" min="5" max="5"/>
    <col width="22" customWidth="1" min="6" max="6"/>
    <col width="34" customWidth="1" min="7" max="7"/>
    <col width="18" customWidth="1" min="8" max="8"/>
    <col width="22" customWidth="1" min="9" max="9"/>
    <col width="16" customWidth="1" min="10" max="10"/>
    <col width="22" customWidth="1" min="11" max="11"/>
    <col width="20" customWidth="1" min="12" max="12"/>
    <col width="20" customWidth="1" min="13" max="13"/>
    <col width="20" customWidth="1" min="14" max="14"/>
    <col width="18" customWidth="1" min="15" max="15"/>
    <col width="16" customWidth="1" min="16" max="16"/>
    <col width="30" customWidth="1" min="17" max="17"/>
    <col width="24" customWidth="1" min="18" max="18"/>
    <col width="22" customWidth="1" min="19" max="19"/>
    <col width="22" customWidth="1" min="20" max="20"/>
    <col width="20" customWidth="1" min="21" max="21"/>
    <col width="20" customWidth="1" min="22" max="22"/>
    <col width="14" customWidth="1" min="23" max="23"/>
    <col width="14" customWidth="1" min="24" max="24"/>
    <col width="14" customWidth="1" min="25" max="25"/>
    <col width="13" customWidth="1" min="26" max="26"/>
    <col width="26" customWidth="1" min="27" max="27"/>
    <col width="26" customWidth="1" min="28" max="28"/>
    <col width="22" customWidth="1" min="29" max="29"/>
    <col width="30" customWidth="1" min="30" max="30"/>
    <col width="12" customWidth="1" min="31" max="31"/>
    <col width="36" customWidth="1" min="32" max="32"/>
    <col width="12" customWidth="1" min="33" max="33"/>
  </cols>
  <sheetData>
    <row r="1" ht="34" customHeight="1">
      <c r="A1" s="18" t="inlineStr">
        <is>
          <t>SolidPro — Lead Magnets Tracker (Assessments, PDFs, Tools)</t>
        </is>
      </c>
    </row>
    <row r="2" ht="16" customHeight="1">
      <c r="A2" s="2" t="inlineStr">
        <is>
          <t>Link each row to a Campaign ID from the Campaign Master sheet  |  * = Mandatory</t>
        </is>
      </c>
    </row>
    <row r="3" ht="30" customHeight="1">
      <c r="A3" s="19" t="inlineStr">
        <is>
          <t>S.No</t>
        </is>
      </c>
      <c r="B3" s="19" t="inlineStr">
        <is>
          <t>Campaign ID *</t>
        </is>
      </c>
      <c r="C3" s="19" t="inlineStr">
        <is>
          <t>Asset ID</t>
        </is>
      </c>
      <c r="D3" s="19" t="inlineStr">
        <is>
          <t>Vertical *</t>
        </is>
      </c>
      <c r="E3" s="19" t="inlineStr">
        <is>
          <t>Asset Name / Title *</t>
        </is>
      </c>
      <c r="F3" s="19" t="inlineStr">
        <is>
          <t>Lead Magnet Type</t>
        </is>
      </c>
      <c r="G3" s="19" t="inlineStr">
        <is>
          <t>Topic / Title</t>
        </is>
      </c>
      <c r="H3" s="19" t="inlineStr">
        <is>
          <t>Format</t>
        </is>
      </c>
      <c r="I3" s="19" t="inlineStr">
        <is>
          <t>Target Persona</t>
        </is>
      </c>
      <c r="J3" s="19" t="inlineStr">
        <is>
          <t>Funnel Stage</t>
        </is>
      </c>
      <c r="K3" s="19" t="inlineStr">
        <is>
          <t>Linked Landing Page ID</t>
        </is>
      </c>
      <c r="L3" s="19" t="inlineStr">
        <is>
          <t>Linked Content ID</t>
        </is>
      </c>
      <c r="M3" s="19" t="inlineStr">
        <is>
          <t>Content Writer</t>
        </is>
      </c>
      <c r="N3" s="19" t="inlineStr">
        <is>
          <t>Designer</t>
        </is>
      </c>
      <c r="O3" s="19" t="inlineStr">
        <is>
          <t>No. of Pages / Q's</t>
        </is>
      </c>
      <c r="P3" s="19" t="inlineStr">
        <is>
          <t>Gating? (Form?)</t>
        </is>
      </c>
      <c r="Q3" s="19" t="inlineStr">
        <is>
          <t>Download / Access Link</t>
        </is>
      </c>
      <c r="R3" s="19" t="inlineStr">
        <is>
          <t>Lead Data Goes To</t>
        </is>
      </c>
      <c r="S3" s="19" t="inlineStr">
        <is>
          <t>Results / Outcomes Defined?</t>
        </is>
      </c>
      <c r="T3" s="19" t="inlineStr">
        <is>
          <t>Owner *</t>
        </is>
      </c>
      <c r="U3" s="19" t="inlineStr">
        <is>
          <t>Support</t>
        </is>
      </c>
      <c r="V3" s="19" t="inlineStr">
        <is>
          <t>Requested By</t>
        </is>
      </c>
      <c r="W3" s="19" t="inlineStr">
        <is>
          <t>Brief Date</t>
        </is>
      </c>
      <c r="X3" s="19" t="inlineStr">
        <is>
          <t>Due Date *</t>
        </is>
      </c>
      <c r="Y3" s="19" t="inlineStr">
        <is>
          <t>Pub / Post Date *</t>
        </is>
      </c>
      <c r="Z3" s="19" t="inlineStr">
        <is>
          <t>Priority</t>
        </is>
      </c>
      <c r="AA3" s="19" t="inlineStr">
        <is>
          <t>Status</t>
        </is>
      </c>
      <c r="AB3" s="19" t="inlineStr">
        <is>
          <t>Approved by Project Head</t>
        </is>
      </c>
      <c r="AC3" s="19" t="inlineStr">
        <is>
          <t>Approved by Manager</t>
        </is>
      </c>
      <c r="AD3" s="19" t="inlineStr">
        <is>
          <t>Final File / URL Link</t>
        </is>
      </c>
      <c r="AE3" s="19" t="inlineStr">
        <is>
          <t>Revision #</t>
        </is>
      </c>
      <c r="AF3" s="19" t="inlineStr">
        <is>
          <t>Feedback / Notes</t>
        </is>
      </c>
      <c r="AG3" s="19" t="inlineStr">
        <is>
          <t>Archived?</t>
        </is>
      </c>
    </row>
    <row r="4" ht="22" customHeight="1">
      <c r="A4" s="4" t="n">
        <v>1</v>
      </c>
      <c r="B4" s="6" t="n"/>
      <c r="C4" s="7">
        <f>IF(E4="","",UPPER(LEFT(D4,3))&amp;"-"&amp;TEXT(1,"000"))</f>
        <v/>
      </c>
      <c r="D4" s="6" t="n"/>
      <c r="E4" s="6" t="n"/>
      <c r="F4" s="6" t="n"/>
      <c r="G4" s="6" t="n"/>
      <c r="H4" s="6" t="n"/>
      <c r="I4" s="6" t="n"/>
      <c r="J4" s="6" t="n"/>
      <c r="K4" s="6" t="n"/>
      <c r="L4" s="6" t="n"/>
      <c r="M4" s="6" t="n"/>
      <c r="N4" s="6" t="n"/>
      <c r="O4" s="6" t="n"/>
      <c r="P4" s="6" t="n"/>
      <c r="Q4" s="6" t="n"/>
      <c r="R4" s="6" t="n"/>
      <c r="S4" s="6" t="n"/>
      <c r="T4" s="6" t="n"/>
      <c r="U4" s="6" t="n"/>
      <c r="V4" s="6" t="n"/>
      <c r="W4" s="6" t="n"/>
      <c r="X4" s="6" t="n"/>
      <c r="Y4" s="6" t="n"/>
      <c r="Z4" s="6" t="n"/>
      <c r="AA4" s="6" t="n"/>
      <c r="AB4" s="6" t="n"/>
      <c r="AC4" s="6" t="n"/>
      <c r="AD4" s="6" t="n"/>
      <c r="AE4" s="6" t="n"/>
      <c r="AF4" s="6" t="n"/>
      <c r="AG4" s="6" t="n"/>
    </row>
    <row r="5" ht="22" customHeight="1">
      <c r="A5" s="8" t="n">
        <v>2</v>
      </c>
      <c r="B5" s="10" t="n"/>
      <c r="C5" s="11">
        <f>IF(E5="","",UPPER(LEFT(D5,3))&amp;"-"&amp;TEXT(2,"000"))</f>
        <v/>
      </c>
      <c r="D5" s="10" t="n"/>
      <c r="E5" s="10" t="n"/>
      <c r="F5" s="10" t="n"/>
      <c r="G5" s="10" t="n"/>
      <c r="H5" s="10" t="n"/>
      <c r="I5" s="10" t="n"/>
      <c r="J5" s="10" t="n"/>
      <c r="K5" s="10" t="n"/>
      <c r="L5" s="10" t="n"/>
      <c r="M5" s="10" t="n"/>
      <c r="N5" s="10" t="n"/>
      <c r="O5" s="10" t="n"/>
      <c r="P5" s="10" t="n"/>
      <c r="Q5" s="10" t="n"/>
      <c r="R5" s="10" t="n"/>
      <c r="S5" s="10" t="n"/>
      <c r="T5" s="10" t="n"/>
      <c r="U5" s="10" t="n"/>
      <c r="V5" s="10" t="n"/>
      <c r="W5" s="10" t="n"/>
      <c r="X5" s="10" t="n"/>
      <c r="Y5" s="10" t="n"/>
      <c r="Z5" s="10" t="n"/>
      <c r="AA5" s="10" t="n"/>
      <c r="AB5" s="10" t="n"/>
      <c r="AC5" s="10" t="n"/>
      <c r="AD5" s="10" t="n"/>
      <c r="AE5" s="10" t="n"/>
      <c r="AF5" s="10" t="n"/>
      <c r="AG5" s="10" t="n"/>
    </row>
    <row r="6" ht="22" customHeight="1">
      <c r="A6" s="4" t="n">
        <v>3</v>
      </c>
      <c r="B6" s="6" t="n"/>
      <c r="C6" s="7">
        <f>IF(E6="","",UPPER(LEFT(D6,3))&amp;"-"&amp;TEXT(3,"000"))</f>
        <v/>
      </c>
      <c r="D6" s="6" t="n"/>
      <c r="E6" s="6" t="n"/>
      <c r="F6" s="6" t="n"/>
      <c r="G6" s="6" t="n"/>
      <c r="H6" s="6" t="n"/>
      <c r="I6" s="6" t="n"/>
      <c r="J6" s="6" t="n"/>
      <c r="K6" s="6" t="n"/>
      <c r="L6" s="6" t="n"/>
      <c r="M6" s="6" t="n"/>
      <c r="N6" s="6" t="n"/>
      <c r="O6" s="6" t="n"/>
      <c r="P6" s="6" t="n"/>
      <c r="Q6" s="6" t="n"/>
      <c r="R6" s="6" t="n"/>
      <c r="S6" s="6" t="n"/>
      <c r="T6" s="6" t="n"/>
      <c r="U6" s="6" t="n"/>
      <c r="V6" s="6" t="n"/>
      <c r="W6" s="6" t="n"/>
      <c r="X6" s="6" t="n"/>
      <c r="Y6" s="6" t="n"/>
      <c r="Z6" s="6" t="n"/>
      <c r="AA6" s="6" t="n"/>
      <c r="AB6" s="6" t="n"/>
      <c r="AC6" s="6" t="n"/>
      <c r="AD6" s="6" t="n"/>
      <c r="AE6" s="6" t="n"/>
      <c r="AF6" s="6" t="n"/>
      <c r="AG6" s="6" t="n"/>
    </row>
    <row r="7" ht="22" customHeight="1">
      <c r="A7" s="8" t="n">
        <v>4</v>
      </c>
      <c r="B7" s="10" t="n"/>
      <c r="C7" s="11">
        <f>IF(E7="","",UPPER(LEFT(D7,3))&amp;"-"&amp;TEXT(4,"000"))</f>
        <v/>
      </c>
      <c r="D7" s="10" t="n"/>
      <c r="E7" s="10"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row>
    <row r="8" ht="22" customHeight="1">
      <c r="A8" s="4" t="n">
        <v>5</v>
      </c>
      <c r="B8" s="6" t="n"/>
      <c r="C8" s="7">
        <f>IF(E8="","",UPPER(LEFT(D8,3))&amp;"-"&amp;TEXT(5,"000"))</f>
        <v/>
      </c>
      <c r="D8" s="6" t="n"/>
      <c r="E8" s="6" t="n"/>
      <c r="F8" s="6" t="n"/>
      <c r="G8" s="6"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row>
    <row r="9" ht="22" customHeight="1">
      <c r="A9" s="8" t="n">
        <v>6</v>
      </c>
      <c r="B9" s="10" t="n"/>
      <c r="C9" s="11">
        <f>IF(E9="","",UPPER(LEFT(D9,3))&amp;"-"&amp;TEXT(6,"000"))</f>
        <v/>
      </c>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row>
    <row r="10" ht="22" customHeight="1">
      <c r="A10" s="4" t="n">
        <v>7</v>
      </c>
      <c r="B10" s="6" t="n"/>
      <c r="C10" s="7">
        <f>IF(E10="","",UPPER(LEFT(D10,3))&amp;"-"&amp;TEXT(7,"000"))</f>
        <v/>
      </c>
      <c r="D10" s="6" t="n"/>
      <c r="E10" s="6" t="n"/>
      <c r="F10" s="6"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n"/>
      <c r="AG10" s="6" t="n"/>
    </row>
    <row r="11" ht="22" customHeight="1">
      <c r="A11" s="8" t="n">
        <v>8</v>
      </c>
      <c r="B11" s="10" t="n"/>
      <c r="C11" s="11">
        <f>IF(E11="","",UPPER(LEFT(D11,3))&amp;"-"&amp;TEXT(8,"000"))</f>
        <v/>
      </c>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row>
    <row r="12" ht="22" customHeight="1">
      <c r="A12" s="4" t="n">
        <v>9</v>
      </c>
      <c r="B12" s="6" t="n"/>
      <c r="C12" s="7">
        <f>IF(E12="","",UPPER(LEFT(D12,3))&amp;"-"&amp;TEXT(9,"000"))</f>
        <v/>
      </c>
      <c r="D12" s="6" t="n"/>
      <c r="E12" s="6" t="n"/>
      <c r="F12" s="6"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c r="AE12" s="6" t="n"/>
      <c r="AF12" s="6" t="n"/>
      <c r="AG12" s="6" t="n"/>
    </row>
    <row r="13" ht="22" customHeight="1">
      <c r="A13" s="8" t="n">
        <v>10</v>
      </c>
      <c r="B13" s="10" t="n"/>
      <c r="C13" s="11">
        <f>IF(E13="","",UPPER(LEFT(D13,3))&amp;"-"&amp;TEXT(10,"000"))</f>
        <v/>
      </c>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row>
    <row r="14" ht="22" customHeight="1">
      <c r="A14" s="4" t="n">
        <v>11</v>
      </c>
      <c r="B14" s="6" t="n"/>
      <c r="C14" s="7">
        <f>IF(E14="","",UPPER(LEFT(D14,3))&amp;"-"&amp;TEXT(11,"000"))</f>
        <v/>
      </c>
      <c r="D14" s="6" t="n"/>
      <c r="E14" s="6" t="n"/>
      <c r="F14" s="6"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row>
    <row r="15" ht="22" customHeight="1">
      <c r="A15" s="8" t="n">
        <v>12</v>
      </c>
      <c r="B15" s="10" t="n"/>
      <c r="C15" s="11">
        <f>IF(E15="","",UPPER(LEFT(D15,3))&amp;"-"&amp;TEXT(12,"000"))</f>
        <v/>
      </c>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c r="AD15" s="10" t="n"/>
      <c r="AE15" s="10" t="n"/>
      <c r="AF15" s="10" t="n"/>
      <c r="AG15" s="10" t="n"/>
    </row>
    <row r="16" ht="22" customHeight="1">
      <c r="A16" s="4" t="n">
        <v>13</v>
      </c>
      <c r="B16" s="6" t="n"/>
      <c r="C16" s="7">
        <f>IF(E16="","",UPPER(LEFT(D16,3))&amp;"-"&amp;TEXT(13,"000"))</f>
        <v/>
      </c>
      <c r="D16" s="6" t="n"/>
      <c r="E16" s="6" t="n"/>
      <c r="F16" s="6" t="n"/>
      <c r="G16" s="6" t="n"/>
      <c r="H16" s="6" t="n"/>
      <c r="I16" s="6" t="n"/>
      <c r="J16" s="6" t="n"/>
      <c r="K16" s="6" t="n"/>
      <c r="L16" s="6" t="n"/>
      <c r="M16" s="6" t="n"/>
      <c r="N16" s="6" t="n"/>
      <c r="O16" s="6" t="n"/>
      <c r="P16" s="6" t="n"/>
      <c r="Q16" s="6" t="n"/>
      <c r="R16" s="6" t="n"/>
      <c r="S16" s="6" t="n"/>
      <c r="T16" s="6" t="n"/>
      <c r="U16" s="6" t="n"/>
      <c r="V16" s="6" t="n"/>
      <c r="W16" s="6" t="n"/>
      <c r="X16" s="6" t="n"/>
      <c r="Y16" s="6" t="n"/>
      <c r="Z16" s="6" t="n"/>
      <c r="AA16" s="6" t="n"/>
      <c r="AB16" s="6" t="n"/>
      <c r="AC16" s="6" t="n"/>
      <c r="AD16" s="6" t="n"/>
      <c r="AE16" s="6" t="n"/>
      <c r="AF16" s="6" t="n"/>
      <c r="AG16" s="6" t="n"/>
    </row>
    <row r="17" ht="22" customHeight="1">
      <c r="A17" s="8" t="n">
        <v>14</v>
      </c>
      <c r="B17" s="10" t="n"/>
      <c r="C17" s="11">
        <f>IF(E17="","",UPPER(LEFT(D17,3))&amp;"-"&amp;TEXT(14,"000"))</f>
        <v/>
      </c>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10" t="n"/>
      <c r="AC17" s="10" t="n"/>
      <c r="AD17" s="10" t="n"/>
      <c r="AE17" s="10" t="n"/>
      <c r="AF17" s="10" t="n"/>
      <c r="AG17" s="10" t="n"/>
    </row>
    <row r="18" ht="22" customHeight="1">
      <c r="A18" s="4" t="n">
        <v>15</v>
      </c>
      <c r="B18" s="6" t="n"/>
      <c r="C18" s="7">
        <f>IF(E18="","",UPPER(LEFT(D18,3))&amp;"-"&amp;TEXT(15,"000"))</f>
        <v/>
      </c>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c r="Z18" s="6" t="n"/>
      <c r="AA18" s="6" t="n"/>
      <c r="AB18" s="6" t="n"/>
      <c r="AC18" s="6" t="n"/>
      <c r="AD18" s="6" t="n"/>
      <c r="AE18" s="6" t="n"/>
      <c r="AF18" s="6" t="n"/>
      <c r="AG18" s="6" t="n"/>
    </row>
    <row r="19" ht="22" customHeight="1">
      <c r="A19" s="8" t="n">
        <v>16</v>
      </c>
      <c r="B19" s="10" t="n"/>
      <c r="C19" s="11">
        <f>IF(E19="","",UPPER(LEFT(D19,3))&amp;"-"&amp;TEXT(16,"000"))</f>
        <v/>
      </c>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row>
    <row r="20" ht="22" customHeight="1">
      <c r="A20" s="4" t="n">
        <v>17</v>
      </c>
      <c r="B20" s="6" t="n"/>
      <c r="C20" s="7">
        <f>IF(E20="","",UPPER(LEFT(D20,3))&amp;"-"&amp;TEXT(17,"000"))</f>
        <v/>
      </c>
      <c r="D20" s="6" t="n"/>
      <c r="E20" s="6" t="n"/>
      <c r="F20" s="6" t="n"/>
      <c r="G20" s="6" t="n"/>
      <c r="H20" s="6" t="n"/>
      <c r="I20" s="6" t="n"/>
      <c r="J20" s="6" t="n"/>
      <c r="K20" s="6" t="n"/>
      <c r="L20" s="6" t="n"/>
      <c r="M20" s="6" t="n"/>
      <c r="N20" s="6" t="n"/>
      <c r="O20" s="6" t="n"/>
      <c r="P20" s="6" t="n"/>
      <c r="Q20" s="6" t="n"/>
      <c r="R20" s="6" t="n"/>
      <c r="S20" s="6" t="n"/>
      <c r="T20" s="6" t="n"/>
      <c r="U20" s="6" t="n"/>
      <c r="V20" s="6" t="n"/>
      <c r="W20" s="6" t="n"/>
      <c r="X20" s="6" t="n"/>
      <c r="Y20" s="6" t="n"/>
      <c r="Z20" s="6" t="n"/>
      <c r="AA20" s="6" t="n"/>
      <c r="AB20" s="6" t="n"/>
      <c r="AC20" s="6" t="n"/>
      <c r="AD20" s="6" t="n"/>
      <c r="AE20" s="6" t="n"/>
      <c r="AF20" s="6" t="n"/>
      <c r="AG20" s="6" t="n"/>
    </row>
    <row r="21" ht="22" customHeight="1">
      <c r="A21" s="8" t="n">
        <v>18</v>
      </c>
      <c r="B21" s="10" t="n"/>
      <c r="C21" s="11">
        <f>IF(E21="","",UPPER(LEFT(D21,3))&amp;"-"&amp;TEXT(18,"000"))</f>
        <v/>
      </c>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row>
    <row r="22" ht="22" customHeight="1">
      <c r="A22" s="4" t="n">
        <v>19</v>
      </c>
      <c r="B22" s="6" t="n"/>
      <c r="C22" s="7">
        <f>IF(E22="","",UPPER(LEFT(D22,3))&amp;"-"&amp;TEXT(19,"000"))</f>
        <v/>
      </c>
      <c r="D22" s="6" t="n"/>
      <c r="E22" s="6" t="n"/>
      <c r="F22" s="6" t="n"/>
      <c r="G22" s="6" t="n"/>
      <c r="H22" s="6" t="n"/>
      <c r="I22" s="6" t="n"/>
      <c r="J22" s="6" t="n"/>
      <c r="K22" s="6" t="n"/>
      <c r="L22" s="6" t="n"/>
      <c r="M22" s="6" t="n"/>
      <c r="N22" s="6" t="n"/>
      <c r="O22" s="6" t="n"/>
      <c r="P22" s="6" t="n"/>
      <c r="Q22" s="6" t="n"/>
      <c r="R22" s="6" t="n"/>
      <c r="S22" s="6" t="n"/>
      <c r="T22" s="6" t="n"/>
      <c r="U22" s="6" t="n"/>
      <c r="V22" s="6" t="n"/>
      <c r="W22" s="6" t="n"/>
      <c r="X22" s="6" t="n"/>
      <c r="Y22" s="6" t="n"/>
      <c r="Z22" s="6" t="n"/>
      <c r="AA22" s="6" t="n"/>
      <c r="AB22" s="6" t="n"/>
      <c r="AC22" s="6" t="n"/>
      <c r="AD22" s="6" t="n"/>
      <c r="AE22" s="6" t="n"/>
      <c r="AF22" s="6" t="n"/>
      <c r="AG22" s="6" t="n"/>
    </row>
    <row r="23" ht="22" customHeight="1">
      <c r="A23" s="8" t="n">
        <v>20</v>
      </c>
      <c r="B23" s="10" t="n"/>
      <c r="C23" s="11">
        <f>IF(E23="","",UPPER(LEFT(D23,3))&amp;"-"&amp;TEXT(20,"000"))</f>
        <v/>
      </c>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c r="AF23" s="10" t="n"/>
      <c r="AG23" s="10" t="n"/>
    </row>
    <row r="24" ht="22" customHeight="1">
      <c r="A24" s="4" t="n">
        <v>21</v>
      </c>
      <c r="B24" s="6" t="n"/>
      <c r="C24" s="7">
        <f>IF(E24="","",UPPER(LEFT(D24,3))&amp;"-"&amp;TEXT(21,"000"))</f>
        <v/>
      </c>
      <c r="D24" s="6" t="n"/>
      <c r="E24" s="6" t="n"/>
      <c r="F24" s="6" t="n"/>
      <c r="G24" s="6" t="n"/>
      <c r="H24" s="6" t="n"/>
      <c r="I24" s="6" t="n"/>
      <c r="J24" s="6" t="n"/>
      <c r="K24" s="6" t="n"/>
      <c r="L24" s="6" t="n"/>
      <c r="M24" s="6" t="n"/>
      <c r="N24" s="6" t="n"/>
      <c r="O24" s="6" t="n"/>
      <c r="P24" s="6" t="n"/>
      <c r="Q24" s="6" t="n"/>
      <c r="R24" s="6" t="n"/>
      <c r="S24" s="6" t="n"/>
      <c r="T24" s="6" t="n"/>
      <c r="U24" s="6" t="n"/>
      <c r="V24" s="6" t="n"/>
      <c r="W24" s="6" t="n"/>
      <c r="X24" s="6" t="n"/>
      <c r="Y24" s="6" t="n"/>
      <c r="Z24" s="6" t="n"/>
      <c r="AA24" s="6" t="n"/>
      <c r="AB24" s="6" t="n"/>
      <c r="AC24" s="6" t="n"/>
      <c r="AD24" s="6" t="n"/>
      <c r="AE24" s="6" t="n"/>
      <c r="AF24" s="6" t="n"/>
      <c r="AG24" s="6" t="n"/>
    </row>
    <row r="25" ht="22" customHeight="1">
      <c r="A25" s="8" t="n">
        <v>22</v>
      </c>
      <c r="B25" s="10" t="n"/>
      <c r="C25" s="11">
        <f>IF(E25="","",UPPER(LEFT(D25,3))&amp;"-"&amp;TEXT(22,"000"))</f>
        <v/>
      </c>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row>
    <row r="26" ht="22" customHeight="1">
      <c r="A26" s="4" t="n">
        <v>23</v>
      </c>
      <c r="B26" s="6" t="n"/>
      <c r="C26" s="7">
        <f>IF(E26="","",UPPER(LEFT(D26,3))&amp;"-"&amp;TEXT(23,"000"))</f>
        <v/>
      </c>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c r="Z26" s="6" t="n"/>
      <c r="AA26" s="6" t="n"/>
      <c r="AB26" s="6" t="n"/>
      <c r="AC26" s="6" t="n"/>
      <c r="AD26" s="6" t="n"/>
      <c r="AE26" s="6" t="n"/>
      <c r="AF26" s="6" t="n"/>
      <c r="AG26" s="6" t="n"/>
    </row>
    <row r="27" ht="22" customHeight="1">
      <c r="A27" s="8" t="n">
        <v>24</v>
      </c>
      <c r="B27" s="10" t="n"/>
      <c r="C27" s="11">
        <f>IF(E27="","",UPPER(LEFT(D27,3))&amp;"-"&amp;TEXT(24,"000"))</f>
        <v/>
      </c>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c r="AF27" s="10" t="n"/>
      <c r="AG27" s="10" t="n"/>
    </row>
    <row r="28" ht="22" customHeight="1">
      <c r="A28" s="4" t="n">
        <v>25</v>
      </c>
      <c r="B28" s="6" t="n"/>
      <c r="C28" s="7">
        <f>IF(E28="","",UPPER(LEFT(D28,3))&amp;"-"&amp;TEXT(25,"000"))</f>
        <v/>
      </c>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c r="AA28" s="6" t="n"/>
      <c r="AB28" s="6" t="n"/>
      <c r="AC28" s="6" t="n"/>
      <c r="AD28" s="6" t="n"/>
      <c r="AE28" s="6" t="n"/>
      <c r="AF28" s="6" t="n"/>
      <c r="AG28" s="6" t="n"/>
    </row>
    <row r="29" ht="22" customHeight="1">
      <c r="A29" s="8" t="n">
        <v>26</v>
      </c>
      <c r="B29" s="10" t="n"/>
      <c r="C29" s="11">
        <f>IF(E29="","",UPPER(LEFT(D29,3))&amp;"-"&amp;TEXT(26,"000"))</f>
        <v/>
      </c>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row>
    <row r="30" ht="22" customHeight="1">
      <c r="A30" s="4" t="n">
        <v>27</v>
      </c>
      <c r="B30" s="6" t="n"/>
      <c r="C30" s="7">
        <f>IF(E30="","",UPPER(LEFT(D30,3))&amp;"-"&amp;TEXT(27,"000"))</f>
        <v/>
      </c>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c r="AC30" s="6" t="n"/>
      <c r="AD30" s="6" t="n"/>
      <c r="AE30" s="6" t="n"/>
      <c r="AF30" s="6" t="n"/>
      <c r="AG30" s="6" t="n"/>
    </row>
    <row r="31" ht="22" customHeight="1">
      <c r="A31" s="8" t="n">
        <v>28</v>
      </c>
      <c r="B31" s="10" t="n"/>
      <c r="C31" s="11">
        <f>IF(E31="","",UPPER(LEFT(D31,3))&amp;"-"&amp;TEXT(28,"000"))</f>
        <v/>
      </c>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10" t="n"/>
      <c r="AC31" s="10" t="n"/>
      <c r="AD31" s="10" t="n"/>
      <c r="AE31" s="10" t="n"/>
      <c r="AF31" s="10" t="n"/>
      <c r="AG31" s="10" t="n"/>
    </row>
    <row r="32" ht="22" customHeight="1">
      <c r="A32" s="4" t="n">
        <v>29</v>
      </c>
      <c r="B32" s="6" t="n"/>
      <c r="C32" s="7">
        <f>IF(E32="","",UPPER(LEFT(D32,3))&amp;"-"&amp;TEXT(29,"000"))</f>
        <v/>
      </c>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c r="AA32" s="6" t="n"/>
      <c r="AB32" s="6" t="n"/>
      <c r="AC32" s="6" t="n"/>
      <c r="AD32" s="6" t="n"/>
      <c r="AE32" s="6" t="n"/>
      <c r="AF32" s="6" t="n"/>
      <c r="AG32" s="6" t="n"/>
    </row>
    <row r="33" ht="22" customHeight="1">
      <c r="A33" s="8" t="n">
        <v>30</v>
      </c>
      <c r="B33" s="10" t="n"/>
      <c r="C33" s="11">
        <f>IF(E33="","",UPPER(LEFT(D33,3))&amp;"-"&amp;TEXT(30,"000"))</f>
        <v/>
      </c>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c r="AD33" s="10" t="n"/>
      <c r="AE33" s="10" t="n"/>
      <c r="AF33" s="10" t="n"/>
      <c r="AG33" s="10" t="n"/>
    </row>
    <row r="34" ht="22" customHeight="1">
      <c r="A34" s="4" t="n">
        <v>31</v>
      </c>
      <c r="B34" s="6" t="n"/>
      <c r="C34" s="7">
        <f>IF(E34="","",UPPER(LEFT(D34,3))&amp;"-"&amp;TEXT(31,"000"))</f>
        <v/>
      </c>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c r="AA34" s="6" t="n"/>
      <c r="AB34" s="6" t="n"/>
      <c r="AC34" s="6" t="n"/>
      <c r="AD34" s="6" t="n"/>
      <c r="AE34" s="6" t="n"/>
      <c r="AF34" s="6" t="n"/>
      <c r="AG34" s="6" t="n"/>
    </row>
    <row r="35" ht="22" customHeight="1">
      <c r="A35" s="8" t="n">
        <v>32</v>
      </c>
      <c r="B35" s="10" t="n"/>
      <c r="C35" s="11">
        <f>IF(E35="","",UPPER(LEFT(D35,3))&amp;"-"&amp;TEXT(32,"000"))</f>
        <v/>
      </c>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row>
    <row r="36" ht="22" customHeight="1">
      <c r="A36" s="4" t="n">
        <v>33</v>
      </c>
      <c r="B36" s="6" t="n"/>
      <c r="C36" s="7">
        <f>IF(E36="","",UPPER(LEFT(D36,3))&amp;"-"&amp;TEXT(33,"000"))</f>
        <v/>
      </c>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c r="AA36" s="6" t="n"/>
      <c r="AB36" s="6" t="n"/>
      <c r="AC36" s="6" t="n"/>
      <c r="AD36" s="6" t="n"/>
      <c r="AE36" s="6" t="n"/>
      <c r="AF36" s="6" t="n"/>
      <c r="AG36" s="6" t="n"/>
    </row>
    <row r="37" ht="22" customHeight="1">
      <c r="A37" s="8" t="n">
        <v>34</v>
      </c>
      <c r="B37" s="10" t="n"/>
      <c r="C37" s="11">
        <f>IF(E37="","",UPPER(LEFT(D37,3))&amp;"-"&amp;TEXT(34,"000"))</f>
        <v/>
      </c>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c r="AE37" s="10" t="n"/>
      <c r="AF37" s="10" t="n"/>
      <c r="AG37" s="10" t="n"/>
    </row>
    <row r="38" ht="22" customHeight="1">
      <c r="A38" s="4" t="n">
        <v>35</v>
      </c>
      <c r="B38" s="6" t="n"/>
      <c r="C38" s="7">
        <f>IF(E38="","",UPPER(LEFT(D38,3))&amp;"-"&amp;TEXT(35,"000"))</f>
        <v/>
      </c>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c r="AA38" s="6" t="n"/>
      <c r="AB38" s="6" t="n"/>
      <c r="AC38" s="6" t="n"/>
      <c r="AD38" s="6" t="n"/>
      <c r="AE38" s="6" t="n"/>
      <c r="AF38" s="6" t="n"/>
      <c r="AG38" s="6" t="n"/>
    </row>
    <row r="39" ht="22" customHeight="1">
      <c r="A39" s="8" t="n">
        <v>36</v>
      </c>
      <c r="B39" s="10" t="n"/>
      <c r="C39" s="11">
        <f>IF(E39="","",UPPER(LEFT(D39,3))&amp;"-"&amp;TEXT(36,"000"))</f>
        <v/>
      </c>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c r="AD39" s="10" t="n"/>
      <c r="AE39" s="10" t="n"/>
      <c r="AF39" s="10" t="n"/>
      <c r="AG39" s="10" t="n"/>
    </row>
    <row r="40" ht="22" customHeight="1">
      <c r="A40" s="4" t="n">
        <v>37</v>
      </c>
      <c r="B40" s="6" t="n"/>
      <c r="C40" s="7">
        <f>IF(E40="","",UPPER(LEFT(D40,3))&amp;"-"&amp;TEXT(37,"000"))</f>
        <v/>
      </c>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c r="AA40" s="6" t="n"/>
      <c r="AB40" s="6" t="n"/>
      <c r="AC40" s="6" t="n"/>
      <c r="AD40" s="6" t="n"/>
      <c r="AE40" s="6" t="n"/>
      <c r="AF40" s="6" t="n"/>
      <c r="AG40" s="6" t="n"/>
    </row>
    <row r="41" ht="22" customHeight="1">
      <c r="A41" s="8" t="n">
        <v>38</v>
      </c>
      <c r="B41" s="10" t="n"/>
      <c r="C41" s="11">
        <f>IF(E41="","",UPPER(LEFT(D41,3))&amp;"-"&amp;TEXT(38,"000"))</f>
        <v/>
      </c>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c r="AD41" s="10" t="n"/>
      <c r="AE41" s="10" t="n"/>
      <c r="AF41" s="10" t="n"/>
      <c r="AG41" s="10" t="n"/>
    </row>
    <row r="42" ht="22" customHeight="1">
      <c r="A42" s="4" t="n">
        <v>39</v>
      </c>
      <c r="B42" s="6" t="n"/>
      <c r="C42" s="7">
        <f>IF(E42="","",UPPER(LEFT(D42,3))&amp;"-"&amp;TEXT(39,"000"))</f>
        <v/>
      </c>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c r="AA42" s="6" t="n"/>
      <c r="AB42" s="6" t="n"/>
      <c r="AC42" s="6" t="n"/>
      <c r="AD42" s="6" t="n"/>
      <c r="AE42" s="6" t="n"/>
      <c r="AF42" s="6" t="n"/>
      <c r="AG42" s="6" t="n"/>
    </row>
    <row r="43" ht="22" customHeight="1">
      <c r="A43" s="8" t="n">
        <v>40</v>
      </c>
      <c r="B43" s="10" t="n"/>
      <c r="C43" s="11">
        <f>IF(E43="","",UPPER(LEFT(D43,3))&amp;"-"&amp;TEXT(40,"000"))</f>
        <v/>
      </c>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row>
    <row r="44" ht="22" customHeight="1">
      <c r="A44" s="4" t="n">
        <v>41</v>
      </c>
      <c r="B44" s="6" t="n"/>
      <c r="C44" s="7">
        <f>IF(E44="","",UPPER(LEFT(D44,3))&amp;"-"&amp;TEXT(41,"000"))</f>
        <v/>
      </c>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c r="AA44" s="6" t="n"/>
      <c r="AB44" s="6" t="n"/>
      <c r="AC44" s="6" t="n"/>
      <c r="AD44" s="6" t="n"/>
      <c r="AE44" s="6" t="n"/>
      <c r="AF44" s="6" t="n"/>
      <c r="AG44" s="6" t="n"/>
    </row>
    <row r="45" ht="22" customHeight="1">
      <c r="A45" s="8" t="n">
        <v>42</v>
      </c>
      <c r="B45" s="10" t="n"/>
      <c r="C45" s="11">
        <f>IF(E45="","",UPPER(LEFT(D45,3))&amp;"-"&amp;TEXT(42,"000"))</f>
        <v/>
      </c>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row>
    <row r="46" ht="22" customHeight="1">
      <c r="A46" s="4" t="n">
        <v>43</v>
      </c>
      <c r="B46" s="6" t="n"/>
      <c r="C46" s="7">
        <f>IF(E46="","",UPPER(LEFT(D46,3))&amp;"-"&amp;TEXT(43,"000"))</f>
        <v/>
      </c>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c r="AA46" s="6" t="n"/>
      <c r="AB46" s="6" t="n"/>
      <c r="AC46" s="6" t="n"/>
      <c r="AD46" s="6" t="n"/>
      <c r="AE46" s="6" t="n"/>
      <c r="AF46" s="6" t="n"/>
      <c r="AG46" s="6" t="n"/>
    </row>
    <row r="47" ht="22" customHeight="1">
      <c r="A47" s="8" t="n">
        <v>44</v>
      </c>
      <c r="B47" s="10" t="n"/>
      <c r="C47" s="11">
        <f>IF(E47="","",UPPER(LEFT(D47,3))&amp;"-"&amp;TEXT(44,"000"))</f>
        <v/>
      </c>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row>
    <row r="48" ht="22" customHeight="1">
      <c r="A48" s="4" t="n">
        <v>45</v>
      </c>
      <c r="B48" s="6" t="n"/>
      <c r="C48" s="7">
        <f>IF(E48="","",UPPER(LEFT(D48,3))&amp;"-"&amp;TEXT(45,"000"))</f>
        <v/>
      </c>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c r="AA48" s="6" t="n"/>
      <c r="AB48" s="6" t="n"/>
      <c r="AC48" s="6" t="n"/>
      <c r="AD48" s="6" t="n"/>
      <c r="AE48" s="6" t="n"/>
      <c r="AF48" s="6" t="n"/>
      <c r="AG48" s="6" t="n"/>
    </row>
    <row r="49" ht="22" customHeight="1">
      <c r="A49" s="8" t="n">
        <v>46</v>
      </c>
      <c r="B49" s="10" t="n"/>
      <c r="C49" s="11">
        <f>IF(E49="","",UPPER(LEFT(D49,3))&amp;"-"&amp;TEXT(46,"000"))</f>
        <v/>
      </c>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row>
    <row r="50" ht="22" customHeight="1">
      <c r="A50" s="4" t="n">
        <v>47</v>
      </c>
      <c r="B50" s="6" t="n"/>
      <c r="C50" s="7">
        <f>IF(E50="","",UPPER(LEFT(D50,3))&amp;"-"&amp;TEXT(47,"000"))</f>
        <v/>
      </c>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c r="AA50" s="6" t="n"/>
      <c r="AB50" s="6" t="n"/>
      <c r="AC50" s="6" t="n"/>
      <c r="AD50" s="6" t="n"/>
      <c r="AE50" s="6" t="n"/>
      <c r="AF50" s="6" t="n"/>
      <c r="AG50" s="6" t="n"/>
    </row>
    <row r="51" ht="22" customHeight="1">
      <c r="A51" s="8" t="n">
        <v>48</v>
      </c>
      <c r="B51" s="10" t="n"/>
      <c r="C51" s="11">
        <f>IF(E51="","",UPPER(LEFT(D51,3))&amp;"-"&amp;TEXT(48,"000"))</f>
        <v/>
      </c>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c r="AD51" s="10" t="n"/>
      <c r="AE51" s="10" t="n"/>
      <c r="AF51" s="10" t="n"/>
      <c r="AG51" s="10" t="n"/>
    </row>
    <row r="52" ht="22" customHeight="1">
      <c r="A52" s="4" t="n">
        <v>49</v>
      </c>
      <c r="B52" s="6" t="n"/>
      <c r="C52" s="7">
        <f>IF(E52="","",UPPER(LEFT(D52,3))&amp;"-"&amp;TEXT(49,"000"))</f>
        <v/>
      </c>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c r="AA52" s="6" t="n"/>
      <c r="AB52" s="6" t="n"/>
      <c r="AC52" s="6" t="n"/>
      <c r="AD52" s="6" t="n"/>
      <c r="AE52" s="6" t="n"/>
      <c r="AF52" s="6" t="n"/>
      <c r="AG52" s="6" t="n"/>
    </row>
    <row r="53" ht="22" customHeight="1">
      <c r="A53" s="8" t="n">
        <v>50</v>
      </c>
      <c r="B53" s="10" t="n"/>
      <c r="C53" s="11">
        <f>IF(E53="","",UPPER(LEFT(D53,3))&amp;"-"&amp;TEXT(50,"000"))</f>
        <v/>
      </c>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c r="AF53" s="10" t="n"/>
      <c r="AG53" s="10" t="n"/>
    </row>
  </sheetData>
  <mergeCells count="2">
    <mergeCell ref="A2:AG2"/>
    <mergeCell ref="A1:AG1"/>
  </mergeCells>
  <conditionalFormatting sqref="AA4:AA53">
    <cfRule type="containsText" priority="1" operator="containsText" dxfId="0" text="Approved">
      <formula>NOT(ISERROR(SEARCH("Approved",AA4)))</formula>
    </cfRule>
    <cfRule type="containsText" priority="2" operator="containsText" dxfId="0" text="Published">
      <formula>NOT(ISERROR(SEARCH("Published",AA4)))</formula>
    </cfRule>
    <cfRule type="containsText" priority="3" operator="containsText" dxfId="0" text="Live">
      <formula>NOT(ISERROR(SEARCH("Live",AA4)))</formula>
    </cfRule>
    <cfRule type="containsText" priority="4" operator="containsText" dxfId="1" text="Cancelled">
      <formula>NOT(ISERROR(SEARCH("Cancelled",AA4)))</formula>
    </cfRule>
    <cfRule type="containsText" priority="5" operator="containsText" dxfId="1" text="Rejected">
      <formula>NOT(ISERROR(SEARCH("Rejected",AA4)))</formula>
    </cfRule>
    <cfRule type="containsText" priority="6" operator="containsText" dxfId="2" text="On Hold">
      <formula>NOT(ISERROR(SEARCH("On Hold",AA4)))</formula>
    </cfRule>
    <cfRule type="containsText" priority="7" operator="containsText" dxfId="2" text="Revision">
      <formula>NOT(ISERROR(SEARCH("Revision",AA4)))</formula>
    </cfRule>
    <cfRule type="containsText" priority="8" operator="containsText" dxfId="2" text="Changes">
      <formula>NOT(ISERROR(SEARCH("Changes",AA4)))</formula>
    </cfRule>
  </conditionalFormatting>
  <conditionalFormatting sqref="AB4:AB53">
    <cfRule type="containsText" priority="9" operator="containsText" dxfId="0" text="Approved">
      <formula>NOT(ISERROR(SEARCH("Approved",AB4)))</formula>
    </cfRule>
    <cfRule type="containsText" priority="10" operator="containsText" dxfId="1" text="Rejected">
      <formula>NOT(ISERROR(SEARCH("Rejected",AB4)))</formula>
    </cfRule>
    <cfRule type="containsText" priority="11" operator="containsText" dxfId="2" text="Changes">
      <formula>NOT(ISERROR(SEARCH("Changes",AB4)))</formula>
    </cfRule>
  </conditionalFormatting>
  <conditionalFormatting sqref="AC4:AC53">
    <cfRule type="containsText" priority="12" operator="containsText" dxfId="0" text="Approved">
      <formula>NOT(ISERROR(SEARCH("Approved",AC4)))</formula>
    </cfRule>
    <cfRule type="containsText" priority="13" operator="containsText" dxfId="1" text="Rejected">
      <formula>NOT(ISERROR(SEARCH("Rejected",AC4)))</formula>
    </cfRule>
    <cfRule type="containsText" priority="14" operator="containsText" dxfId="2" text="Changes">
      <formula>NOT(ISERROR(SEARCH("Changes",AC4)))</formula>
    </cfRule>
  </conditionalFormatting>
  <dataValidations count="14">
    <dataValidation sqref="D4:D53" showDropDown="0" showInputMessage="1" showErrorMessage="1" allowBlank="1" errorTitle="Invalid" error="Select from list." promptTitle="Vertical" prompt="Select vertical." type="list">
      <formula1>"Digital Transformation,Industrial Goods &amp; Consumer Products,Structural Engineering,MedTech,Energy &amp; Utilities,Sustainability,BFSI,Product Innovation,SolidPro AI,Other"</formula1>
    </dataValidation>
    <dataValidation sqref="Z4:Z53" showDropDown="0" showInputMessage="1" showErrorMessage="1" allowBlank="1" errorTitle="Invalid" error="Select from list." promptTitle="Priority" prompt="Urgency level." type="list">
      <formula1>"🔴 Critical,🟠 High,🟡 Medium,🟢 Low"</formula1>
    </dataValidation>
    <dataValidation sqref="AA4:AA53" showDropDown="0" showInputMessage="1" showErrorMessage="1" allowBlank="1" errorTitle="Invalid" error="Select from list." promptTitle="Status" prompt="Workflow status." type="list">
      <formula1>"📋 Briefed,✍ In Progress,🔁 In Revision,✅ Approved by Project Head,✅ Approved by Manager,🚀 Published / Live,⏸ On Hold,❌ Cancelled"</formula1>
    </dataValidation>
    <dataValidation sqref="AB4:AB53" showDropDown="0" showInputMessage="1" showErrorMessage="1" allowBlank="1" errorTitle="Invalid" error="Select from list." promptTitle="Project Head" prompt="Approval from Project Head." type="list">
      <formula1>"⏳ Pending,✅ Approved,🔁 Changes Requested,❌ Rejected"</formula1>
    </dataValidation>
    <dataValidation sqref="AC4:AC53" showDropDown="0" showInputMessage="1" showErrorMessage="1" allowBlank="1" errorTitle="Invalid" error="Select from list." promptTitle="Manager" prompt="Approval from Manager." type="list">
      <formula1>"⏳ Pending,✅ Approved,🔁 Changes Requested,❌ Rejected"</formula1>
    </dataValidation>
    <dataValidation sqref="AG4:AG53" showDropDown="0" showInputMessage="1" showErrorMessage="1" allowBlank="1" errorTitle="Invalid" error="Select from list." promptTitle="Archived" prompt="Mark Yes when done." type="list">
      <formula1>"No,Yes"</formula1>
    </dataValidation>
    <dataValidation sqref="W4:W53" showDropDown="0" showInputMessage="1" showErrorMessage="1" allowBlank="1" errorTitle="Invalid Date" error="Enter a valid date." promptTitle="Enter Date" prompt="Format: DD-MM-YYYY" type="date" operator="greaterThan">
      <formula1>DATE(2024,1,1)</formula1>
    </dataValidation>
    <dataValidation sqref="X4:X53" showDropDown="0" showInputMessage="1" showErrorMessage="1" allowBlank="1" errorTitle="Invalid Date" error="Enter a valid date." promptTitle="Enter Date" prompt="Format: DD-MM-YYYY" type="date" operator="greaterThan">
      <formula1>DATE(2024,1,1)</formula1>
    </dataValidation>
    <dataValidation sqref="Y4:Y53" showDropDown="0" showInputMessage="1" showErrorMessage="1" allowBlank="1" errorTitle="Invalid Date" error="Enter a valid date." promptTitle="Enter Date" prompt="Format: DD-MM-YYYY" type="date" operator="greaterThan">
      <formula1>DATE(2024,1,1)</formula1>
    </dataValidation>
    <dataValidation sqref="F4:F53" showDropDown="0" showInputMessage="1" showErrorMessage="1" allowBlank="1" errorTitle="Invalid" error="Select from list." promptTitle="Lead Magnet Type" prompt="Type of lead magnet." type="list">
      <formula1>"Downloadable PDF,Assessment / Quiz,Checklist,Template,Calculator Tool,eBook,Infographic Pack,Webinar Recording,Research Report,ROI Calculator,Comparison Guide,Other"</formula1>
    </dataValidation>
    <dataValidation sqref="H4:H53" showDropDown="0" showInputMessage="1" showErrorMessage="1" allowBlank="1" errorTitle="Invalid" error="Select from list." promptTitle="Format" prompt="Delivery format." type="list">
      <formula1>"PDF,Interactive Web,Google Form,Typeform,HubSpot Form,Excel / Sheet,Video,Other"</formula1>
    </dataValidation>
    <dataValidation sqref="J4:J53" showDropDown="0" showInputMessage="1" showErrorMessage="1" allowBlank="1" errorTitle="Invalid" error="Select from list." promptTitle="Funnel Stage" prompt="Where this sits in the funnel." type="list">
      <formula1>"TOFU – Awareness,MOFU – Consideration,BOFU – Decision"</formula1>
    </dataValidation>
    <dataValidation sqref="P4:P53" showDropDown="0" showInputMessage="1" showErrorMessage="1" allowBlank="1" errorTitle="Invalid" error="Select from list." promptTitle="Gating" prompt="Is form fill required?" type="list">
      <formula1>"Yes – Gated,No – Ungated,Partially Gated"</formula1>
    </dataValidation>
    <dataValidation sqref="R4:R53" showDropDown="0" showInputMessage="1" showErrorMessage="1" allowBlank="1" errorTitle="Invalid" error="Select from list." promptTitle="Lead Data" prompt="Where captured leads go." type="list">
      <formula1>"HubSpot,Zoho CRM,Google Sheet,Email Notification Only,Other"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53"/>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6" customWidth="1" min="2" max="2"/>
    <col width="14" customWidth="1" min="3" max="3"/>
    <col width="22" customWidth="1" min="4" max="4"/>
    <col width="32" customWidth="1" min="5" max="5"/>
    <col width="26" customWidth="1" min="6" max="6"/>
    <col width="26" customWidth="1" min="7" max="7"/>
    <col width="16" customWidth="1" min="8" max="8"/>
    <col width="34" customWidth="1" min="9" max="9"/>
    <col width="20" customWidth="1" min="10" max="10"/>
    <col width="22" customWidth="1" min="11" max="11"/>
    <col width="18" customWidth="1" min="12" max="12"/>
    <col width="20" customWidth="1" min="13" max="13"/>
    <col width="22" customWidth="1" min="14" max="14"/>
    <col width="28" customWidth="1" min="15" max="15"/>
    <col width="16" customWidth="1" min="16" max="16"/>
    <col width="16" customWidth="1" min="17" max="17"/>
    <col width="20" customWidth="1" min="18" max="18"/>
    <col width="16" customWidth="1" min="19" max="19"/>
    <col width="16" customWidth="1" min="20" max="20"/>
    <col width="22" customWidth="1" min="21" max="21"/>
    <col width="20" customWidth="1" min="22" max="22"/>
    <col width="20" customWidth="1" min="23" max="23"/>
    <col width="14" customWidth="1" min="24" max="24"/>
    <col width="14" customWidth="1" min="25" max="25"/>
    <col width="14" customWidth="1" min="26" max="26"/>
    <col width="13" customWidth="1" min="27" max="27"/>
    <col width="26" customWidth="1" min="28" max="28"/>
    <col width="26" customWidth="1" min="29" max="29"/>
    <col width="22" customWidth="1" min="30" max="30"/>
    <col width="30" customWidth="1" min="31" max="31"/>
    <col width="12" customWidth="1" min="32" max="32"/>
    <col width="36" customWidth="1" min="33" max="33"/>
    <col width="12" customWidth="1" min="34" max="34"/>
  </cols>
  <sheetData>
    <row r="1" ht="34" customHeight="1">
      <c r="A1" s="20" t="inlineStr">
        <is>
          <t>SolidPro — Email Sequences Tracker</t>
        </is>
      </c>
    </row>
    <row r="2" ht="16" customHeight="1">
      <c r="A2" s="2" t="inlineStr">
        <is>
          <t>Link each row to a Campaign ID from the Campaign Master sheet  |  * = Mandatory</t>
        </is>
      </c>
    </row>
    <row r="3" ht="30" customHeight="1">
      <c r="A3" s="21" t="inlineStr">
        <is>
          <t>S.No</t>
        </is>
      </c>
      <c r="B3" s="21" t="inlineStr">
        <is>
          <t>Campaign ID *</t>
        </is>
      </c>
      <c r="C3" s="21" t="inlineStr">
        <is>
          <t>Asset ID</t>
        </is>
      </c>
      <c r="D3" s="21" t="inlineStr">
        <is>
          <t>Vertical *</t>
        </is>
      </c>
      <c r="E3" s="21" t="inlineStr">
        <is>
          <t>Asset Name / Title *</t>
        </is>
      </c>
      <c r="F3" s="21" t="inlineStr">
        <is>
          <t>Sequence Name</t>
        </is>
      </c>
      <c r="G3" s="21" t="inlineStr">
        <is>
          <t>Trigger / Entry Point</t>
        </is>
      </c>
      <c r="H3" s="21" t="inlineStr">
        <is>
          <t>Email # in Sequence</t>
        </is>
      </c>
      <c r="I3" s="21" t="inlineStr">
        <is>
          <t>Email Subject Line</t>
        </is>
      </c>
      <c r="J3" s="21" t="inlineStr">
        <is>
          <t>Email Type</t>
        </is>
      </c>
      <c r="K3" s="21" t="inlineStr">
        <is>
          <t>Audience Segment</t>
        </is>
      </c>
      <c r="L3" s="21" t="inlineStr">
        <is>
          <t>Linked Campaign ID</t>
        </is>
      </c>
      <c r="M3" s="21" t="inlineStr">
        <is>
          <t>Linked Lead Magnet ID</t>
        </is>
      </c>
      <c r="N3" s="21" t="inlineStr">
        <is>
          <t>CTA in Email</t>
        </is>
      </c>
      <c r="O3" s="21" t="inlineStr">
        <is>
          <t>CTA URL</t>
        </is>
      </c>
      <c r="P3" s="21" t="inlineStr">
        <is>
          <t>Send Day / Delay</t>
        </is>
      </c>
      <c r="Q3" s="21" t="inlineStr">
        <is>
          <t>ESP / Tool</t>
        </is>
      </c>
      <c r="R3" s="21" t="inlineStr">
        <is>
          <t>Template Used</t>
        </is>
      </c>
      <c r="S3" s="21" t="inlineStr">
        <is>
          <t>Open Rate Target</t>
        </is>
      </c>
      <c r="T3" s="21" t="inlineStr">
        <is>
          <t>Click Rate Target</t>
        </is>
      </c>
      <c r="U3" s="21" t="inlineStr">
        <is>
          <t>Owner *</t>
        </is>
      </c>
      <c r="V3" s="21" t="inlineStr">
        <is>
          <t>Support</t>
        </is>
      </c>
      <c r="W3" s="21" t="inlineStr">
        <is>
          <t>Requested By</t>
        </is>
      </c>
      <c r="X3" s="21" t="inlineStr">
        <is>
          <t>Brief Date</t>
        </is>
      </c>
      <c r="Y3" s="21" t="inlineStr">
        <is>
          <t>Due Date *</t>
        </is>
      </c>
      <c r="Z3" s="21" t="inlineStr">
        <is>
          <t>Pub / Post Date *</t>
        </is>
      </c>
      <c r="AA3" s="21" t="inlineStr">
        <is>
          <t>Priority</t>
        </is>
      </c>
      <c r="AB3" s="21" t="inlineStr">
        <is>
          <t>Status</t>
        </is>
      </c>
      <c r="AC3" s="21" t="inlineStr">
        <is>
          <t>Approved by Project Head</t>
        </is>
      </c>
      <c r="AD3" s="21" t="inlineStr">
        <is>
          <t>Approved by Manager</t>
        </is>
      </c>
      <c r="AE3" s="21" t="inlineStr">
        <is>
          <t>Final File / URL Link</t>
        </is>
      </c>
      <c r="AF3" s="21" t="inlineStr">
        <is>
          <t>Revision #</t>
        </is>
      </c>
      <c r="AG3" s="21" t="inlineStr">
        <is>
          <t>Feedback / Notes</t>
        </is>
      </c>
      <c r="AH3" s="21" t="inlineStr">
        <is>
          <t>Archived?</t>
        </is>
      </c>
    </row>
    <row r="4" ht="22" customHeight="1">
      <c r="A4" s="4" t="n">
        <v>1</v>
      </c>
      <c r="B4" s="6" t="n"/>
      <c r="C4" s="7">
        <f>IF(E4="","",UPPER(LEFT(D4,3))&amp;"-"&amp;TEXT(1,"000"))</f>
        <v/>
      </c>
      <c r="D4" s="6" t="n"/>
      <c r="E4" s="6" t="n"/>
      <c r="F4" s="6" t="n"/>
      <c r="G4" s="6" t="n"/>
      <c r="H4" s="6" t="n"/>
      <c r="I4" s="6" t="n"/>
      <c r="J4" s="6" t="n"/>
      <c r="K4" s="6" t="n"/>
      <c r="L4" s="6" t="n"/>
      <c r="M4" s="6" t="n"/>
      <c r="N4" s="6" t="n"/>
      <c r="O4" s="6" t="n"/>
      <c r="P4" s="6" t="n"/>
      <c r="Q4" s="6" t="n"/>
      <c r="R4" s="6" t="n"/>
      <c r="S4" s="6" t="n"/>
      <c r="T4" s="6" t="n"/>
      <c r="U4" s="6" t="n"/>
      <c r="V4" s="6" t="n"/>
      <c r="W4" s="6" t="n"/>
      <c r="X4" s="6" t="n"/>
      <c r="Y4" s="6" t="n"/>
      <c r="Z4" s="6" t="n"/>
      <c r="AA4" s="6" t="n"/>
      <c r="AB4" s="6" t="n"/>
      <c r="AC4" s="6" t="n"/>
      <c r="AD4" s="6" t="n"/>
      <c r="AE4" s="6" t="n"/>
      <c r="AF4" s="6" t="n"/>
      <c r="AG4" s="6" t="n"/>
      <c r="AH4" s="6" t="n"/>
    </row>
    <row r="5" ht="22" customHeight="1">
      <c r="A5" s="8" t="n">
        <v>2</v>
      </c>
      <c r="B5" s="10" t="n"/>
      <c r="C5" s="11">
        <f>IF(E5="","",UPPER(LEFT(D5,3))&amp;"-"&amp;TEXT(2,"000"))</f>
        <v/>
      </c>
      <c r="D5" s="10" t="n"/>
      <c r="E5" s="10" t="n"/>
      <c r="F5" s="10" t="n"/>
      <c r="G5" s="10" t="n"/>
      <c r="H5" s="10" t="n"/>
      <c r="I5" s="10" t="n"/>
      <c r="J5" s="10" t="n"/>
      <c r="K5" s="10" t="n"/>
      <c r="L5" s="10" t="n"/>
      <c r="M5" s="10" t="n"/>
      <c r="N5" s="10" t="n"/>
      <c r="O5" s="10" t="n"/>
      <c r="P5" s="10" t="n"/>
      <c r="Q5" s="10" t="n"/>
      <c r="R5" s="10" t="n"/>
      <c r="S5" s="10" t="n"/>
      <c r="T5" s="10" t="n"/>
      <c r="U5" s="10" t="n"/>
      <c r="V5" s="10" t="n"/>
      <c r="W5" s="10" t="n"/>
      <c r="X5" s="10" t="n"/>
      <c r="Y5" s="10" t="n"/>
      <c r="Z5" s="10" t="n"/>
      <c r="AA5" s="10" t="n"/>
      <c r="AB5" s="10" t="n"/>
      <c r="AC5" s="10" t="n"/>
      <c r="AD5" s="10" t="n"/>
      <c r="AE5" s="10" t="n"/>
      <c r="AF5" s="10" t="n"/>
      <c r="AG5" s="10" t="n"/>
      <c r="AH5" s="10" t="n"/>
    </row>
    <row r="6" ht="22" customHeight="1">
      <c r="A6" s="4" t="n">
        <v>3</v>
      </c>
      <c r="B6" s="6" t="n"/>
      <c r="C6" s="7">
        <f>IF(E6="","",UPPER(LEFT(D6,3))&amp;"-"&amp;TEXT(3,"000"))</f>
        <v/>
      </c>
      <c r="D6" s="6" t="n"/>
      <c r="E6" s="6" t="n"/>
      <c r="F6" s="6" t="n"/>
      <c r="G6" s="6" t="n"/>
      <c r="H6" s="6" t="n"/>
      <c r="I6" s="6" t="n"/>
      <c r="J6" s="6" t="n"/>
      <c r="K6" s="6" t="n"/>
      <c r="L6" s="6" t="n"/>
      <c r="M6" s="6" t="n"/>
      <c r="N6" s="6" t="n"/>
      <c r="O6" s="6" t="n"/>
      <c r="P6" s="6" t="n"/>
      <c r="Q6" s="6" t="n"/>
      <c r="R6" s="6" t="n"/>
      <c r="S6" s="6" t="n"/>
      <c r="T6" s="6" t="n"/>
      <c r="U6" s="6" t="n"/>
      <c r="V6" s="6" t="n"/>
      <c r="W6" s="6" t="n"/>
      <c r="X6" s="6" t="n"/>
      <c r="Y6" s="6" t="n"/>
      <c r="Z6" s="6" t="n"/>
      <c r="AA6" s="6" t="n"/>
      <c r="AB6" s="6" t="n"/>
      <c r="AC6" s="6" t="n"/>
      <c r="AD6" s="6" t="n"/>
      <c r="AE6" s="6" t="n"/>
      <c r="AF6" s="6" t="n"/>
      <c r="AG6" s="6" t="n"/>
      <c r="AH6" s="6" t="n"/>
    </row>
    <row r="7" ht="22" customHeight="1">
      <c r="A7" s="8" t="n">
        <v>4</v>
      </c>
      <c r="B7" s="10" t="n"/>
      <c r="C7" s="11">
        <f>IF(E7="","",UPPER(LEFT(D7,3))&amp;"-"&amp;TEXT(4,"000"))</f>
        <v/>
      </c>
      <c r="D7" s="10" t="n"/>
      <c r="E7" s="10"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row>
    <row r="8" ht="22" customHeight="1">
      <c r="A8" s="4" t="n">
        <v>5</v>
      </c>
      <c r="B8" s="6" t="n"/>
      <c r="C8" s="7">
        <f>IF(E8="","",UPPER(LEFT(D8,3))&amp;"-"&amp;TEXT(5,"000"))</f>
        <v/>
      </c>
      <c r="D8" s="6" t="n"/>
      <c r="E8" s="6" t="n"/>
      <c r="F8" s="6" t="n"/>
      <c r="G8" s="6"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row>
    <row r="9" ht="22" customHeight="1">
      <c r="A9" s="8" t="n">
        <v>6</v>
      </c>
      <c r="B9" s="10" t="n"/>
      <c r="C9" s="11">
        <f>IF(E9="","",UPPER(LEFT(D9,3))&amp;"-"&amp;TEXT(6,"000"))</f>
        <v/>
      </c>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row>
    <row r="10" ht="22" customHeight="1">
      <c r="A10" s="4" t="n">
        <v>7</v>
      </c>
      <c r="B10" s="6" t="n"/>
      <c r="C10" s="7">
        <f>IF(E10="","",UPPER(LEFT(D10,3))&amp;"-"&amp;TEXT(7,"000"))</f>
        <v/>
      </c>
      <c r="D10" s="6" t="n"/>
      <c r="E10" s="6" t="n"/>
      <c r="F10" s="6"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n"/>
      <c r="AG10" s="6" t="n"/>
      <c r="AH10" s="6" t="n"/>
    </row>
    <row r="11" ht="22" customHeight="1">
      <c r="A11" s="8" t="n">
        <v>8</v>
      </c>
      <c r="B11" s="10" t="n"/>
      <c r="C11" s="11">
        <f>IF(E11="","",UPPER(LEFT(D11,3))&amp;"-"&amp;TEXT(8,"000"))</f>
        <v/>
      </c>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row>
    <row r="12" ht="22" customHeight="1">
      <c r="A12" s="4" t="n">
        <v>9</v>
      </c>
      <c r="B12" s="6" t="n"/>
      <c r="C12" s="7">
        <f>IF(E12="","",UPPER(LEFT(D12,3))&amp;"-"&amp;TEXT(9,"000"))</f>
        <v/>
      </c>
      <c r="D12" s="6" t="n"/>
      <c r="E12" s="6" t="n"/>
      <c r="F12" s="6"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c r="AE12" s="6" t="n"/>
      <c r="AF12" s="6" t="n"/>
      <c r="AG12" s="6" t="n"/>
      <c r="AH12" s="6" t="n"/>
    </row>
    <row r="13" ht="22" customHeight="1">
      <c r="A13" s="8" t="n">
        <v>10</v>
      </c>
      <c r="B13" s="10" t="n"/>
      <c r="C13" s="11">
        <f>IF(E13="","",UPPER(LEFT(D13,3))&amp;"-"&amp;TEXT(10,"000"))</f>
        <v/>
      </c>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row>
    <row r="14" ht="22" customHeight="1">
      <c r="A14" s="4" t="n">
        <v>11</v>
      </c>
      <c r="B14" s="6" t="n"/>
      <c r="C14" s="7">
        <f>IF(E14="","",UPPER(LEFT(D14,3))&amp;"-"&amp;TEXT(11,"000"))</f>
        <v/>
      </c>
      <c r="D14" s="6" t="n"/>
      <c r="E14" s="6" t="n"/>
      <c r="F14" s="6"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row>
    <row r="15" ht="22" customHeight="1">
      <c r="A15" s="8" t="n">
        <v>12</v>
      </c>
      <c r="B15" s="10" t="n"/>
      <c r="C15" s="11">
        <f>IF(E15="","",UPPER(LEFT(D15,3))&amp;"-"&amp;TEXT(12,"000"))</f>
        <v/>
      </c>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row>
    <row r="16" ht="22" customHeight="1">
      <c r="A16" s="4" t="n">
        <v>13</v>
      </c>
      <c r="B16" s="6" t="n"/>
      <c r="C16" s="7">
        <f>IF(E16="","",UPPER(LEFT(D16,3))&amp;"-"&amp;TEXT(13,"000"))</f>
        <v/>
      </c>
      <c r="D16" s="6" t="n"/>
      <c r="E16" s="6" t="n"/>
      <c r="F16" s="6" t="n"/>
      <c r="G16" s="6" t="n"/>
      <c r="H16" s="6" t="n"/>
      <c r="I16" s="6" t="n"/>
      <c r="J16" s="6" t="n"/>
      <c r="K16" s="6" t="n"/>
      <c r="L16" s="6" t="n"/>
      <c r="M16" s="6" t="n"/>
      <c r="N16" s="6" t="n"/>
      <c r="O16" s="6" t="n"/>
      <c r="P16" s="6" t="n"/>
      <c r="Q16" s="6" t="n"/>
      <c r="R16" s="6" t="n"/>
      <c r="S16" s="6" t="n"/>
      <c r="T16" s="6" t="n"/>
      <c r="U16" s="6" t="n"/>
      <c r="V16" s="6" t="n"/>
      <c r="W16" s="6" t="n"/>
      <c r="X16" s="6" t="n"/>
      <c r="Y16" s="6" t="n"/>
      <c r="Z16" s="6" t="n"/>
      <c r="AA16" s="6" t="n"/>
      <c r="AB16" s="6" t="n"/>
      <c r="AC16" s="6" t="n"/>
      <c r="AD16" s="6" t="n"/>
      <c r="AE16" s="6" t="n"/>
      <c r="AF16" s="6" t="n"/>
      <c r="AG16" s="6" t="n"/>
      <c r="AH16" s="6" t="n"/>
    </row>
    <row r="17" ht="22" customHeight="1">
      <c r="A17" s="8" t="n">
        <v>14</v>
      </c>
      <c r="B17" s="10" t="n"/>
      <c r="C17" s="11">
        <f>IF(E17="","",UPPER(LEFT(D17,3))&amp;"-"&amp;TEXT(14,"000"))</f>
        <v/>
      </c>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row>
    <row r="18" ht="22" customHeight="1">
      <c r="A18" s="4" t="n">
        <v>15</v>
      </c>
      <c r="B18" s="6" t="n"/>
      <c r="C18" s="7">
        <f>IF(E18="","",UPPER(LEFT(D18,3))&amp;"-"&amp;TEXT(15,"000"))</f>
        <v/>
      </c>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c r="Z18" s="6" t="n"/>
      <c r="AA18" s="6" t="n"/>
      <c r="AB18" s="6" t="n"/>
      <c r="AC18" s="6" t="n"/>
      <c r="AD18" s="6" t="n"/>
      <c r="AE18" s="6" t="n"/>
      <c r="AF18" s="6" t="n"/>
      <c r="AG18" s="6" t="n"/>
      <c r="AH18" s="6" t="n"/>
    </row>
    <row r="19" ht="22" customHeight="1">
      <c r="A19" s="8" t="n">
        <v>16</v>
      </c>
      <c r="B19" s="10" t="n"/>
      <c r="C19" s="11">
        <f>IF(E19="","",UPPER(LEFT(D19,3))&amp;"-"&amp;TEXT(16,"000"))</f>
        <v/>
      </c>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row>
    <row r="20" ht="22" customHeight="1">
      <c r="A20" s="4" t="n">
        <v>17</v>
      </c>
      <c r="B20" s="6" t="n"/>
      <c r="C20" s="7">
        <f>IF(E20="","",UPPER(LEFT(D20,3))&amp;"-"&amp;TEXT(17,"000"))</f>
        <v/>
      </c>
      <c r="D20" s="6" t="n"/>
      <c r="E20" s="6" t="n"/>
      <c r="F20" s="6" t="n"/>
      <c r="G20" s="6" t="n"/>
      <c r="H20" s="6" t="n"/>
      <c r="I20" s="6" t="n"/>
      <c r="J20" s="6" t="n"/>
      <c r="K20" s="6" t="n"/>
      <c r="L20" s="6" t="n"/>
      <c r="M20" s="6" t="n"/>
      <c r="N20" s="6" t="n"/>
      <c r="O20" s="6" t="n"/>
      <c r="P20" s="6" t="n"/>
      <c r="Q20" s="6" t="n"/>
      <c r="R20" s="6" t="n"/>
      <c r="S20" s="6" t="n"/>
      <c r="T20" s="6" t="n"/>
      <c r="U20" s="6" t="n"/>
      <c r="V20" s="6" t="n"/>
      <c r="W20" s="6" t="n"/>
      <c r="X20" s="6" t="n"/>
      <c r="Y20" s="6" t="n"/>
      <c r="Z20" s="6" t="n"/>
      <c r="AA20" s="6" t="n"/>
      <c r="AB20" s="6" t="n"/>
      <c r="AC20" s="6" t="n"/>
      <c r="AD20" s="6" t="n"/>
      <c r="AE20" s="6" t="n"/>
      <c r="AF20" s="6" t="n"/>
      <c r="AG20" s="6" t="n"/>
      <c r="AH20" s="6" t="n"/>
    </row>
    <row r="21" ht="22" customHeight="1">
      <c r="A21" s="8" t="n">
        <v>18</v>
      </c>
      <c r="B21" s="10" t="n"/>
      <c r="C21" s="11">
        <f>IF(E21="","",UPPER(LEFT(D21,3))&amp;"-"&amp;TEXT(18,"000"))</f>
        <v/>
      </c>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row>
    <row r="22" ht="22" customHeight="1">
      <c r="A22" s="4" t="n">
        <v>19</v>
      </c>
      <c r="B22" s="6" t="n"/>
      <c r="C22" s="7">
        <f>IF(E22="","",UPPER(LEFT(D22,3))&amp;"-"&amp;TEXT(19,"000"))</f>
        <v/>
      </c>
      <c r="D22" s="6" t="n"/>
      <c r="E22" s="6" t="n"/>
      <c r="F22" s="6" t="n"/>
      <c r="G22" s="6" t="n"/>
      <c r="H22" s="6" t="n"/>
      <c r="I22" s="6" t="n"/>
      <c r="J22" s="6" t="n"/>
      <c r="K22" s="6" t="n"/>
      <c r="L22" s="6" t="n"/>
      <c r="M22" s="6" t="n"/>
      <c r="N22" s="6" t="n"/>
      <c r="O22" s="6" t="n"/>
      <c r="P22" s="6" t="n"/>
      <c r="Q22" s="6" t="n"/>
      <c r="R22" s="6" t="n"/>
      <c r="S22" s="6" t="n"/>
      <c r="T22" s="6" t="n"/>
      <c r="U22" s="6" t="n"/>
      <c r="V22" s="6" t="n"/>
      <c r="W22" s="6" t="n"/>
      <c r="X22" s="6" t="n"/>
      <c r="Y22" s="6" t="n"/>
      <c r="Z22" s="6" t="n"/>
      <c r="AA22" s="6" t="n"/>
      <c r="AB22" s="6" t="n"/>
      <c r="AC22" s="6" t="n"/>
      <c r="AD22" s="6" t="n"/>
      <c r="AE22" s="6" t="n"/>
      <c r="AF22" s="6" t="n"/>
      <c r="AG22" s="6" t="n"/>
      <c r="AH22" s="6" t="n"/>
    </row>
    <row r="23" ht="22" customHeight="1">
      <c r="A23" s="8" t="n">
        <v>20</v>
      </c>
      <c r="B23" s="10" t="n"/>
      <c r="C23" s="11">
        <f>IF(E23="","",UPPER(LEFT(D23,3))&amp;"-"&amp;TEXT(20,"000"))</f>
        <v/>
      </c>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c r="AF23" s="10" t="n"/>
      <c r="AG23" s="10" t="n"/>
      <c r="AH23" s="10" t="n"/>
    </row>
    <row r="24" ht="22" customHeight="1">
      <c r="A24" s="4" t="n">
        <v>21</v>
      </c>
      <c r="B24" s="6" t="n"/>
      <c r="C24" s="7">
        <f>IF(E24="","",UPPER(LEFT(D24,3))&amp;"-"&amp;TEXT(21,"000"))</f>
        <v/>
      </c>
      <c r="D24" s="6" t="n"/>
      <c r="E24" s="6" t="n"/>
      <c r="F24" s="6" t="n"/>
      <c r="G24" s="6" t="n"/>
      <c r="H24" s="6" t="n"/>
      <c r="I24" s="6" t="n"/>
      <c r="J24" s="6" t="n"/>
      <c r="K24" s="6" t="n"/>
      <c r="L24" s="6" t="n"/>
      <c r="M24" s="6" t="n"/>
      <c r="N24" s="6" t="n"/>
      <c r="O24" s="6" t="n"/>
      <c r="P24" s="6" t="n"/>
      <c r="Q24" s="6" t="n"/>
      <c r="R24" s="6" t="n"/>
      <c r="S24" s="6" t="n"/>
      <c r="T24" s="6" t="n"/>
      <c r="U24" s="6" t="n"/>
      <c r="V24" s="6" t="n"/>
      <c r="W24" s="6" t="n"/>
      <c r="X24" s="6" t="n"/>
      <c r="Y24" s="6" t="n"/>
      <c r="Z24" s="6" t="n"/>
      <c r="AA24" s="6" t="n"/>
      <c r="AB24" s="6" t="n"/>
      <c r="AC24" s="6" t="n"/>
      <c r="AD24" s="6" t="n"/>
      <c r="AE24" s="6" t="n"/>
      <c r="AF24" s="6" t="n"/>
      <c r="AG24" s="6" t="n"/>
      <c r="AH24" s="6" t="n"/>
    </row>
    <row r="25" ht="22" customHeight="1">
      <c r="A25" s="8" t="n">
        <v>22</v>
      </c>
      <c r="B25" s="10" t="n"/>
      <c r="C25" s="11">
        <f>IF(E25="","",UPPER(LEFT(D25,3))&amp;"-"&amp;TEXT(22,"000"))</f>
        <v/>
      </c>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row>
    <row r="26" ht="22" customHeight="1">
      <c r="A26" s="4" t="n">
        <v>23</v>
      </c>
      <c r="B26" s="6" t="n"/>
      <c r="C26" s="7">
        <f>IF(E26="","",UPPER(LEFT(D26,3))&amp;"-"&amp;TEXT(23,"000"))</f>
        <v/>
      </c>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c r="Z26" s="6" t="n"/>
      <c r="AA26" s="6" t="n"/>
      <c r="AB26" s="6" t="n"/>
      <c r="AC26" s="6" t="n"/>
      <c r="AD26" s="6" t="n"/>
      <c r="AE26" s="6" t="n"/>
      <c r="AF26" s="6" t="n"/>
      <c r="AG26" s="6" t="n"/>
      <c r="AH26" s="6" t="n"/>
    </row>
    <row r="27" ht="22" customHeight="1">
      <c r="A27" s="8" t="n">
        <v>24</v>
      </c>
      <c r="B27" s="10" t="n"/>
      <c r="C27" s="11">
        <f>IF(E27="","",UPPER(LEFT(D27,3))&amp;"-"&amp;TEXT(24,"000"))</f>
        <v/>
      </c>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c r="AF27" s="10" t="n"/>
      <c r="AG27" s="10" t="n"/>
      <c r="AH27" s="10" t="n"/>
    </row>
    <row r="28" ht="22" customHeight="1">
      <c r="A28" s="4" t="n">
        <v>25</v>
      </c>
      <c r="B28" s="6" t="n"/>
      <c r="C28" s="7">
        <f>IF(E28="","",UPPER(LEFT(D28,3))&amp;"-"&amp;TEXT(25,"000"))</f>
        <v/>
      </c>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c r="AA28" s="6" t="n"/>
      <c r="AB28" s="6" t="n"/>
      <c r="AC28" s="6" t="n"/>
      <c r="AD28" s="6" t="n"/>
      <c r="AE28" s="6" t="n"/>
      <c r="AF28" s="6" t="n"/>
      <c r="AG28" s="6" t="n"/>
      <c r="AH28" s="6" t="n"/>
    </row>
    <row r="29" ht="22" customHeight="1">
      <c r="A29" s="8" t="n">
        <v>26</v>
      </c>
      <c r="B29" s="10" t="n"/>
      <c r="C29" s="11">
        <f>IF(E29="","",UPPER(LEFT(D29,3))&amp;"-"&amp;TEXT(26,"000"))</f>
        <v/>
      </c>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row>
    <row r="30" ht="22" customHeight="1">
      <c r="A30" s="4" t="n">
        <v>27</v>
      </c>
      <c r="B30" s="6" t="n"/>
      <c r="C30" s="7">
        <f>IF(E30="","",UPPER(LEFT(D30,3))&amp;"-"&amp;TEXT(27,"000"))</f>
        <v/>
      </c>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c r="AC30" s="6" t="n"/>
      <c r="AD30" s="6" t="n"/>
      <c r="AE30" s="6" t="n"/>
      <c r="AF30" s="6" t="n"/>
      <c r="AG30" s="6" t="n"/>
      <c r="AH30" s="6" t="n"/>
    </row>
    <row r="31" ht="22" customHeight="1">
      <c r="A31" s="8" t="n">
        <v>28</v>
      </c>
      <c r="B31" s="10" t="n"/>
      <c r="C31" s="11">
        <f>IF(E31="","",UPPER(LEFT(D31,3))&amp;"-"&amp;TEXT(28,"000"))</f>
        <v/>
      </c>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10" t="n"/>
      <c r="AC31" s="10" t="n"/>
      <c r="AD31" s="10" t="n"/>
      <c r="AE31" s="10" t="n"/>
      <c r="AF31" s="10" t="n"/>
      <c r="AG31" s="10" t="n"/>
      <c r="AH31" s="10" t="n"/>
    </row>
    <row r="32" ht="22" customHeight="1">
      <c r="A32" s="4" t="n">
        <v>29</v>
      </c>
      <c r="B32" s="6" t="n"/>
      <c r="C32" s="7">
        <f>IF(E32="","",UPPER(LEFT(D32,3))&amp;"-"&amp;TEXT(29,"000"))</f>
        <v/>
      </c>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c r="AA32" s="6" t="n"/>
      <c r="AB32" s="6" t="n"/>
      <c r="AC32" s="6" t="n"/>
      <c r="AD32" s="6" t="n"/>
      <c r="AE32" s="6" t="n"/>
      <c r="AF32" s="6" t="n"/>
      <c r="AG32" s="6" t="n"/>
      <c r="AH32" s="6" t="n"/>
    </row>
    <row r="33" ht="22" customHeight="1">
      <c r="A33" s="8" t="n">
        <v>30</v>
      </c>
      <c r="B33" s="10" t="n"/>
      <c r="C33" s="11">
        <f>IF(E33="","",UPPER(LEFT(D33,3))&amp;"-"&amp;TEXT(30,"000"))</f>
        <v/>
      </c>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c r="AD33" s="10" t="n"/>
      <c r="AE33" s="10" t="n"/>
      <c r="AF33" s="10" t="n"/>
      <c r="AG33" s="10" t="n"/>
      <c r="AH33" s="10" t="n"/>
    </row>
    <row r="34" ht="22" customHeight="1">
      <c r="A34" s="4" t="n">
        <v>31</v>
      </c>
      <c r="B34" s="6" t="n"/>
      <c r="C34" s="7">
        <f>IF(E34="","",UPPER(LEFT(D34,3))&amp;"-"&amp;TEXT(31,"000"))</f>
        <v/>
      </c>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c r="AA34" s="6" t="n"/>
      <c r="AB34" s="6" t="n"/>
      <c r="AC34" s="6" t="n"/>
      <c r="AD34" s="6" t="n"/>
      <c r="AE34" s="6" t="n"/>
      <c r="AF34" s="6" t="n"/>
      <c r="AG34" s="6" t="n"/>
      <c r="AH34" s="6" t="n"/>
    </row>
    <row r="35" ht="22" customHeight="1">
      <c r="A35" s="8" t="n">
        <v>32</v>
      </c>
      <c r="B35" s="10" t="n"/>
      <c r="C35" s="11">
        <f>IF(E35="","",UPPER(LEFT(D35,3))&amp;"-"&amp;TEXT(32,"000"))</f>
        <v/>
      </c>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c r="AH35" s="10" t="n"/>
    </row>
    <row r="36" ht="22" customHeight="1">
      <c r="A36" s="4" t="n">
        <v>33</v>
      </c>
      <c r="B36" s="6" t="n"/>
      <c r="C36" s="7">
        <f>IF(E36="","",UPPER(LEFT(D36,3))&amp;"-"&amp;TEXT(33,"000"))</f>
        <v/>
      </c>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c r="AA36" s="6" t="n"/>
      <c r="AB36" s="6" t="n"/>
      <c r="AC36" s="6" t="n"/>
      <c r="AD36" s="6" t="n"/>
      <c r="AE36" s="6" t="n"/>
      <c r="AF36" s="6" t="n"/>
      <c r="AG36" s="6" t="n"/>
      <c r="AH36" s="6" t="n"/>
    </row>
    <row r="37" ht="22" customHeight="1">
      <c r="A37" s="8" t="n">
        <v>34</v>
      </c>
      <c r="B37" s="10" t="n"/>
      <c r="C37" s="11">
        <f>IF(E37="","",UPPER(LEFT(D37,3))&amp;"-"&amp;TEXT(34,"000"))</f>
        <v/>
      </c>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c r="AE37" s="10" t="n"/>
      <c r="AF37" s="10" t="n"/>
      <c r="AG37" s="10" t="n"/>
      <c r="AH37" s="10" t="n"/>
    </row>
    <row r="38" ht="22" customHeight="1">
      <c r="A38" s="4" t="n">
        <v>35</v>
      </c>
      <c r="B38" s="6" t="n"/>
      <c r="C38" s="7">
        <f>IF(E38="","",UPPER(LEFT(D38,3))&amp;"-"&amp;TEXT(35,"000"))</f>
        <v/>
      </c>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c r="AA38" s="6" t="n"/>
      <c r="AB38" s="6" t="n"/>
      <c r="AC38" s="6" t="n"/>
      <c r="AD38" s="6" t="n"/>
      <c r="AE38" s="6" t="n"/>
      <c r="AF38" s="6" t="n"/>
      <c r="AG38" s="6" t="n"/>
      <c r="AH38" s="6" t="n"/>
    </row>
    <row r="39" ht="22" customHeight="1">
      <c r="A39" s="8" t="n">
        <v>36</v>
      </c>
      <c r="B39" s="10" t="n"/>
      <c r="C39" s="11">
        <f>IF(E39="","",UPPER(LEFT(D39,3))&amp;"-"&amp;TEXT(36,"000"))</f>
        <v/>
      </c>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c r="AD39" s="10" t="n"/>
      <c r="AE39" s="10" t="n"/>
      <c r="AF39" s="10" t="n"/>
      <c r="AG39" s="10" t="n"/>
      <c r="AH39" s="10" t="n"/>
    </row>
    <row r="40" ht="22" customHeight="1">
      <c r="A40" s="4" t="n">
        <v>37</v>
      </c>
      <c r="B40" s="6" t="n"/>
      <c r="C40" s="7">
        <f>IF(E40="","",UPPER(LEFT(D40,3))&amp;"-"&amp;TEXT(37,"000"))</f>
        <v/>
      </c>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c r="AA40" s="6" t="n"/>
      <c r="AB40" s="6" t="n"/>
      <c r="AC40" s="6" t="n"/>
      <c r="AD40" s="6" t="n"/>
      <c r="AE40" s="6" t="n"/>
      <c r="AF40" s="6" t="n"/>
      <c r="AG40" s="6" t="n"/>
      <c r="AH40" s="6" t="n"/>
    </row>
    <row r="41" ht="22" customHeight="1">
      <c r="A41" s="8" t="n">
        <v>38</v>
      </c>
      <c r="B41" s="10" t="n"/>
      <c r="C41" s="11">
        <f>IF(E41="","",UPPER(LEFT(D41,3))&amp;"-"&amp;TEXT(38,"000"))</f>
        <v/>
      </c>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c r="AD41" s="10" t="n"/>
      <c r="AE41" s="10" t="n"/>
      <c r="AF41" s="10" t="n"/>
      <c r="AG41" s="10" t="n"/>
      <c r="AH41" s="10" t="n"/>
    </row>
    <row r="42" ht="22" customHeight="1">
      <c r="A42" s="4" t="n">
        <v>39</v>
      </c>
      <c r="B42" s="6" t="n"/>
      <c r="C42" s="7">
        <f>IF(E42="","",UPPER(LEFT(D42,3))&amp;"-"&amp;TEXT(39,"000"))</f>
        <v/>
      </c>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c r="AA42" s="6" t="n"/>
      <c r="AB42" s="6" t="n"/>
      <c r="AC42" s="6" t="n"/>
      <c r="AD42" s="6" t="n"/>
      <c r="AE42" s="6" t="n"/>
      <c r="AF42" s="6" t="n"/>
      <c r="AG42" s="6" t="n"/>
      <c r="AH42" s="6" t="n"/>
    </row>
    <row r="43" ht="22" customHeight="1">
      <c r="A43" s="8" t="n">
        <v>40</v>
      </c>
      <c r="B43" s="10" t="n"/>
      <c r="C43" s="11">
        <f>IF(E43="","",UPPER(LEFT(D43,3))&amp;"-"&amp;TEXT(40,"000"))</f>
        <v/>
      </c>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row>
    <row r="44" ht="22" customHeight="1">
      <c r="A44" s="4" t="n">
        <v>41</v>
      </c>
      <c r="B44" s="6" t="n"/>
      <c r="C44" s="7">
        <f>IF(E44="","",UPPER(LEFT(D44,3))&amp;"-"&amp;TEXT(41,"000"))</f>
        <v/>
      </c>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c r="AA44" s="6" t="n"/>
      <c r="AB44" s="6" t="n"/>
      <c r="AC44" s="6" t="n"/>
      <c r="AD44" s="6" t="n"/>
      <c r="AE44" s="6" t="n"/>
      <c r="AF44" s="6" t="n"/>
      <c r="AG44" s="6" t="n"/>
      <c r="AH44" s="6" t="n"/>
    </row>
    <row r="45" ht="22" customHeight="1">
      <c r="A45" s="8" t="n">
        <v>42</v>
      </c>
      <c r="B45" s="10" t="n"/>
      <c r="C45" s="11">
        <f>IF(E45="","",UPPER(LEFT(D45,3))&amp;"-"&amp;TEXT(42,"000"))</f>
        <v/>
      </c>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row>
    <row r="46" ht="22" customHeight="1">
      <c r="A46" s="4" t="n">
        <v>43</v>
      </c>
      <c r="B46" s="6" t="n"/>
      <c r="C46" s="7">
        <f>IF(E46="","",UPPER(LEFT(D46,3))&amp;"-"&amp;TEXT(43,"000"))</f>
        <v/>
      </c>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c r="AA46" s="6" t="n"/>
      <c r="AB46" s="6" t="n"/>
      <c r="AC46" s="6" t="n"/>
      <c r="AD46" s="6" t="n"/>
      <c r="AE46" s="6" t="n"/>
      <c r="AF46" s="6" t="n"/>
      <c r="AG46" s="6" t="n"/>
      <c r="AH46" s="6" t="n"/>
    </row>
    <row r="47" ht="22" customHeight="1">
      <c r="A47" s="8" t="n">
        <v>44</v>
      </c>
      <c r="B47" s="10" t="n"/>
      <c r="C47" s="11">
        <f>IF(E47="","",UPPER(LEFT(D47,3))&amp;"-"&amp;TEXT(44,"000"))</f>
        <v/>
      </c>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c r="AH47" s="10" t="n"/>
    </row>
    <row r="48" ht="22" customHeight="1">
      <c r="A48" s="4" t="n">
        <v>45</v>
      </c>
      <c r="B48" s="6" t="n"/>
      <c r="C48" s="7">
        <f>IF(E48="","",UPPER(LEFT(D48,3))&amp;"-"&amp;TEXT(45,"000"))</f>
        <v/>
      </c>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c r="AA48" s="6" t="n"/>
      <c r="AB48" s="6" t="n"/>
      <c r="AC48" s="6" t="n"/>
      <c r="AD48" s="6" t="n"/>
      <c r="AE48" s="6" t="n"/>
      <c r="AF48" s="6" t="n"/>
      <c r="AG48" s="6" t="n"/>
      <c r="AH48" s="6" t="n"/>
    </row>
    <row r="49" ht="22" customHeight="1">
      <c r="A49" s="8" t="n">
        <v>46</v>
      </c>
      <c r="B49" s="10" t="n"/>
      <c r="C49" s="11">
        <f>IF(E49="","",UPPER(LEFT(D49,3))&amp;"-"&amp;TEXT(46,"000"))</f>
        <v/>
      </c>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c r="AH49" s="10" t="n"/>
    </row>
    <row r="50" ht="22" customHeight="1">
      <c r="A50" s="4" t="n">
        <v>47</v>
      </c>
      <c r="B50" s="6" t="n"/>
      <c r="C50" s="7">
        <f>IF(E50="","",UPPER(LEFT(D50,3))&amp;"-"&amp;TEXT(47,"000"))</f>
        <v/>
      </c>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c r="AA50" s="6" t="n"/>
      <c r="AB50" s="6" t="n"/>
      <c r="AC50" s="6" t="n"/>
      <c r="AD50" s="6" t="n"/>
      <c r="AE50" s="6" t="n"/>
      <c r="AF50" s="6" t="n"/>
      <c r="AG50" s="6" t="n"/>
      <c r="AH50" s="6" t="n"/>
    </row>
    <row r="51" ht="22" customHeight="1">
      <c r="A51" s="8" t="n">
        <v>48</v>
      </c>
      <c r="B51" s="10" t="n"/>
      <c r="C51" s="11">
        <f>IF(E51="","",UPPER(LEFT(D51,3))&amp;"-"&amp;TEXT(48,"000"))</f>
        <v/>
      </c>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c r="AD51" s="10" t="n"/>
      <c r="AE51" s="10" t="n"/>
      <c r="AF51" s="10" t="n"/>
      <c r="AG51" s="10" t="n"/>
      <c r="AH51" s="10" t="n"/>
    </row>
    <row r="52" ht="22" customHeight="1">
      <c r="A52" s="4" t="n">
        <v>49</v>
      </c>
      <c r="B52" s="6" t="n"/>
      <c r="C52" s="7">
        <f>IF(E52="","",UPPER(LEFT(D52,3))&amp;"-"&amp;TEXT(49,"000"))</f>
        <v/>
      </c>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c r="AA52" s="6" t="n"/>
      <c r="AB52" s="6" t="n"/>
      <c r="AC52" s="6" t="n"/>
      <c r="AD52" s="6" t="n"/>
      <c r="AE52" s="6" t="n"/>
      <c r="AF52" s="6" t="n"/>
      <c r="AG52" s="6" t="n"/>
      <c r="AH52" s="6" t="n"/>
    </row>
    <row r="53" ht="22" customHeight="1">
      <c r="A53" s="8" t="n">
        <v>50</v>
      </c>
      <c r="B53" s="10" t="n"/>
      <c r="C53" s="11">
        <f>IF(E53="","",UPPER(LEFT(D53,3))&amp;"-"&amp;TEXT(50,"000"))</f>
        <v/>
      </c>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c r="AF53" s="10" t="n"/>
      <c r="AG53" s="10" t="n"/>
      <c r="AH53" s="10" t="n"/>
    </row>
  </sheetData>
  <mergeCells count="2">
    <mergeCell ref="A2:AH2"/>
    <mergeCell ref="A1:AH1"/>
  </mergeCells>
  <conditionalFormatting sqref="AB4:AB53">
    <cfRule type="containsText" priority="1" operator="containsText" dxfId="0" text="Approved">
      <formula>NOT(ISERROR(SEARCH("Approved",AB4)))</formula>
    </cfRule>
    <cfRule type="containsText" priority="2" operator="containsText" dxfId="0" text="Published">
      <formula>NOT(ISERROR(SEARCH("Published",AB4)))</formula>
    </cfRule>
    <cfRule type="containsText" priority="3" operator="containsText" dxfId="0" text="Live">
      <formula>NOT(ISERROR(SEARCH("Live",AB4)))</formula>
    </cfRule>
    <cfRule type="containsText" priority="4" operator="containsText" dxfId="1" text="Cancelled">
      <formula>NOT(ISERROR(SEARCH("Cancelled",AB4)))</formula>
    </cfRule>
    <cfRule type="containsText" priority="5" operator="containsText" dxfId="1" text="Rejected">
      <formula>NOT(ISERROR(SEARCH("Rejected",AB4)))</formula>
    </cfRule>
    <cfRule type="containsText" priority="6" operator="containsText" dxfId="2" text="On Hold">
      <formula>NOT(ISERROR(SEARCH("On Hold",AB4)))</formula>
    </cfRule>
    <cfRule type="containsText" priority="7" operator="containsText" dxfId="2" text="Revision">
      <formula>NOT(ISERROR(SEARCH("Revision",AB4)))</formula>
    </cfRule>
    <cfRule type="containsText" priority="8" operator="containsText" dxfId="2" text="Changes">
      <formula>NOT(ISERROR(SEARCH("Changes",AB4)))</formula>
    </cfRule>
  </conditionalFormatting>
  <conditionalFormatting sqref="AC4:AC53">
    <cfRule type="containsText" priority="9" operator="containsText" dxfId="0" text="Approved">
      <formula>NOT(ISERROR(SEARCH("Approved",AC4)))</formula>
    </cfRule>
    <cfRule type="containsText" priority="10" operator="containsText" dxfId="1" text="Rejected">
      <formula>NOT(ISERROR(SEARCH("Rejected",AC4)))</formula>
    </cfRule>
    <cfRule type="containsText" priority="11" operator="containsText" dxfId="2" text="Changes">
      <formula>NOT(ISERROR(SEARCH("Changes",AC4)))</formula>
    </cfRule>
  </conditionalFormatting>
  <conditionalFormatting sqref="AD4:AD53">
    <cfRule type="containsText" priority="12" operator="containsText" dxfId="0" text="Approved">
      <formula>NOT(ISERROR(SEARCH("Approved",AD4)))</formula>
    </cfRule>
    <cfRule type="containsText" priority="13" operator="containsText" dxfId="1" text="Rejected">
      <formula>NOT(ISERROR(SEARCH("Rejected",AD4)))</formula>
    </cfRule>
    <cfRule type="containsText" priority="14" operator="containsText" dxfId="2" text="Changes">
      <formula>NOT(ISERROR(SEARCH("Changes",AD4)))</formula>
    </cfRule>
  </conditionalFormatting>
  <dataValidations count="11">
    <dataValidation sqref="D4:D53" showDropDown="0" showInputMessage="1" showErrorMessage="1" allowBlank="1" errorTitle="Invalid" error="Select from list." promptTitle="Vertical" prompt="Select vertical." type="list">
      <formula1>"Digital Transformation,Industrial Goods &amp; Consumer Products,Structural Engineering,MedTech,Energy &amp; Utilities,Sustainability,BFSI,Product Innovation,SolidPro AI,Other"</formula1>
    </dataValidation>
    <dataValidation sqref="AA4:AA53" showDropDown="0" showInputMessage="1" showErrorMessage="1" allowBlank="1" errorTitle="Invalid" error="Select from list." promptTitle="Priority" prompt="Urgency level." type="list">
      <formula1>"🔴 Critical,🟠 High,🟡 Medium,🟢 Low"</formula1>
    </dataValidation>
    <dataValidation sqref="AB4:AB53" showDropDown="0" showInputMessage="1" showErrorMessage="1" allowBlank="1" errorTitle="Invalid" error="Select from list." promptTitle="Status" prompt="Workflow status." type="list">
      <formula1>"📋 Briefed,✍ In Progress,🔁 In Revision,✅ Approved by Project Head,✅ Approved by Manager,🚀 Published / Live,⏸ On Hold,❌ Cancelled"</formula1>
    </dataValidation>
    <dataValidation sqref="AC4:AC53" showDropDown="0" showInputMessage="1" showErrorMessage="1" allowBlank="1" errorTitle="Invalid" error="Select from list." promptTitle="Project Head" prompt="Approval from Project Head." type="list">
      <formula1>"⏳ Pending,✅ Approved,🔁 Changes Requested,❌ Rejected"</formula1>
    </dataValidation>
    <dataValidation sqref="AD4:AD53" showDropDown="0" showInputMessage="1" showErrorMessage="1" allowBlank="1" errorTitle="Invalid" error="Select from list." promptTitle="Manager" prompt="Approval from Manager." type="list">
      <formula1>"⏳ Pending,✅ Approved,🔁 Changes Requested,❌ Rejected"</formula1>
    </dataValidation>
    <dataValidation sqref="AH4:AH53" showDropDown="0" showInputMessage="1" showErrorMessage="1" allowBlank="1" errorTitle="Invalid" error="Select from list." promptTitle="Archived" prompt="Mark Yes when done." type="list">
      <formula1>"No,Yes"</formula1>
    </dataValidation>
    <dataValidation sqref="X4:X53" showDropDown="0" showInputMessage="1" showErrorMessage="1" allowBlank="1" errorTitle="Invalid Date" error="Enter a valid date." promptTitle="Enter Date" prompt="Format: DD-MM-YYYY" type="date" operator="greaterThan">
      <formula1>DATE(2024,1,1)</formula1>
    </dataValidation>
    <dataValidation sqref="Y4:Y53" showDropDown="0" showInputMessage="1" showErrorMessage="1" allowBlank="1" errorTitle="Invalid Date" error="Enter a valid date." promptTitle="Enter Date" prompt="Format: DD-MM-YYYY" type="date" operator="greaterThan">
      <formula1>DATE(2024,1,1)</formula1>
    </dataValidation>
    <dataValidation sqref="Z4:Z53" showDropDown="0" showInputMessage="1" showErrorMessage="1" allowBlank="1" errorTitle="Invalid Date" error="Enter a valid date." promptTitle="Enter Date" prompt="Format: DD-MM-YYYY" type="date" operator="greaterThan">
      <formula1>DATE(2024,1,1)</formula1>
    </dataValidation>
    <dataValidation sqref="J4:J53" showDropDown="0" showInputMessage="1" showErrorMessage="1" allowBlank="1" errorTitle="Invalid" error="Select from list." promptTitle="Email Type" prompt="Type of email." type="list">
      <formula1>"Welcome,Nurture,Promotional,Event Invite,Follow-Up,Re-engagement,Newsletter,Transactional,Other"</formula1>
    </dataValidation>
    <dataValidation sqref="Q4:Q53" showDropDown="0" showInputMessage="1" showErrorMessage="1" allowBlank="1" errorTitle="Invalid" error="Select from list." promptTitle="ESP Tool" prompt="Email platform used." type="list">
      <formula1>"HubSpot,Mailchimp,Zoho Campaigns,SendGrid,ActiveCampaign,Other"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53"/>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6" customWidth="1" min="2" max="2"/>
    <col width="14" customWidth="1" min="3" max="3"/>
    <col width="22" customWidth="1" min="4" max="4"/>
    <col width="32" customWidth="1" min="5" max="5"/>
    <col width="18" customWidth="1" min="6" max="6"/>
    <col width="20" customWidth="1" min="7" max="7"/>
    <col width="20" customWidth="1" min="8" max="8"/>
    <col width="30" customWidth="1" min="9" max="9"/>
    <col width="30" customWidth="1" min="10" max="10"/>
    <col width="40" customWidth="1" min="11" max="11"/>
    <col width="16" customWidth="1" min="12" max="12"/>
    <col width="30" customWidth="1" min="13" max="13"/>
    <col width="20" customWidth="1" min="14" max="14"/>
    <col width="26" customWidth="1" min="15" max="15"/>
    <col width="14" customWidth="1" min="16" max="16"/>
    <col width="15" customWidth="1" min="17" max="17"/>
    <col width="15" customWidth="1" min="18" max="18"/>
    <col width="28" customWidth="1" min="19" max="19"/>
    <col width="24" customWidth="1" min="20" max="20"/>
    <col width="22" customWidth="1" min="21" max="21"/>
    <col width="20" customWidth="1" min="22" max="22"/>
    <col width="20" customWidth="1" min="23" max="23"/>
    <col width="14" customWidth="1" min="24" max="24"/>
    <col width="14" customWidth="1" min="25" max="25"/>
    <col width="14" customWidth="1" min="26" max="26"/>
    <col width="13" customWidth="1" min="27" max="27"/>
    <col width="26" customWidth="1" min="28" max="28"/>
    <col width="26" customWidth="1" min="29" max="29"/>
    <col width="22" customWidth="1" min="30" max="30"/>
    <col width="30" customWidth="1" min="31" max="31"/>
    <col width="12" customWidth="1" min="32" max="32"/>
    <col width="36" customWidth="1" min="33" max="33"/>
    <col width="12" customWidth="1" min="34" max="34"/>
  </cols>
  <sheetData>
    <row r="1" ht="34" customHeight="1">
      <c r="A1" s="22" t="inlineStr">
        <is>
          <t>SolidPro — Ad Copy Tracker</t>
        </is>
      </c>
    </row>
    <row r="2" ht="16" customHeight="1">
      <c r="A2" s="2" t="inlineStr">
        <is>
          <t>Link each row to a Campaign ID from the Campaign Master sheet  |  * = Mandatory</t>
        </is>
      </c>
    </row>
    <row r="3" ht="30" customHeight="1">
      <c r="A3" s="23" t="inlineStr">
        <is>
          <t>S.No</t>
        </is>
      </c>
      <c r="B3" s="23" t="inlineStr">
        <is>
          <t>Campaign ID *</t>
        </is>
      </c>
      <c r="C3" s="23" t="inlineStr">
        <is>
          <t>Asset ID</t>
        </is>
      </c>
      <c r="D3" s="23" t="inlineStr">
        <is>
          <t>Vertical *</t>
        </is>
      </c>
      <c r="E3" s="23" t="inlineStr">
        <is>
          <t>Asset Name / Title *</t>
        </is>
      </c>
      <c r="F3" s="23" t="inlineStr">
        <is>
          <t>Ad Platform</t>
        </is>
      </c>
      <c r="G3" s="23" t="inlineStr">
        <is>
          <t>Ad Format</t>
        </is>
      </c>
      <c r="H3" s="23" t="inlineStr">
        <is>
          <t>Ad Objective</t>
        </is>
      </c>
      <c r="I3" s="23" t="inlineStr">
        <is>
          <t>Headline (H1)</t>
        </is>
      </c>
      <c r="J3" s="23" t="inlineStr">
        <is>
          <t>Headline (H2)</t>
        </is>
      </c>
      <c r="K3" s="23" t="inlineStr">
        <is>
          <t>Body Copy</t>
        </is>
      </c>
      <c r="L3" s="23" t="inlineStr">
        <is>
          <t>CTA Text</t>
        </is>
      </c>
      <c r="M3" s="23" t="inlineStr">
        <is>
          <t>Destination URL</t>
        </is>
      </c>
      <c r="N3" s="23" t="inlineStr">
        <is>
          <t>Linked Creative ID</t>
        </is>
      </c>
      <c r="O3" s="23" t="inlineStr">
        <is>
          <t>Audience Targeting</t>
        </is>
      </c>
      <c r="P3" s="23" t="inlineStr">
        <is>
          <t>Budget (₹)</t>
        </is>
      </c>
      <c r="Q3" s="23" t="inlineStr">
        <is>
          <t>Run Start Date</t>
        </is>
      </c>
      <c r="R3" s="23" t="inlineStr">
        <is>
          <t>Run End Date</t>
        </is>
      </c>
      <c r="S3" s="23" t="inlineStr">
        <is>
          <t>UTM Parameters</t>
        </is>
      </c>
      <c r="T3" s="23" t="inlineStr">
        <is>
          <t>Ad Account / Campaign ID</t>
        </is>
      </c>
      <c r="U3" s="23" t="inlineStr">
        <is>
          <t>Owner *</t>
        </is>
      </c>
      <c r="V3" s="23" t="inlineStr">
        <is>
          <t>Support</t>
        </is>
      </c>
      <c r="W3" s="23" t="inlineStr">
        <is>
          <t>Requested By</t>
        </is>
      </c>
      <c r="X3" s="23" t="inlineStr">
        <is>
          <t>Brief Date</t>
        </is>
      </c>
      <c r="Y3" s="23" t="inlineStr">
        <is>
          <t>Due Date *</t>
        </is>
      </c>
      <c r="Z3" s="23" t="inlineStr">
        <is>
          <t>Pub / Post Date *</t>
        </is>
      </c>
      <c r="AA3" s="23" t="inlineStr">
        <is>
          <t>Priority</t>
        </is>
      </c>
      <c r="AB3" s="23" t="inlineStr">
        <is>
          <t>Status</t>
        </is>
      </c>
      <c r="AC3" s="23" t="inlineStr">
        <is>
          <t>Approved by Project Head</t>
        </is>
      </c>
      <c r="AD3" s="23" t="inlineStr">
        <is>
          <t>Approved by Manager</t>
        </is>
      </c>
      <c r="AE3" s="23" t="inlineStr">
        <is>
          <t>Final File / URL Link</t>
        </is>
      </c>
      <c r="AF3" s="23" t="inlineStr">
        <is>
          <t>Revision #</t>
        </is>
      </c>
      <c r="AG3" s="23" t="inlineStr">
        <is>
          <t>Feedback / Notes</t>
        </is>
      </c>
      <c r="AH3" s="23" t="inlineStr">
        <is>
          <t>Archived?</t>
        </is>
      </c>
    </row>
    <row r="4" ht="22" customHeight="1">
      <c r="A4" s="4" t="n">
        <v>1</v>
      </c>
      <c r="B4" s="6" t="n"/>
      <c r="C4" s="7">
        <f>IF(E4="","",UPPER(LEFT(D4,3))&amp;"-"&amp;TEXT(1,"000"))</f>
        <v/>
      </c>
      <c r="D4" s="6" t="n"/>
      <c r="E4" s="6" t="n"/>
      <c r="F4" s="6" t="n"/>
      <c r="G4" s="6" t="n"/>
      <c r="H4" s="6" t="n"/>
      <c r="I4" s="6" t="n"/>
      <c r="J4" s="6" t="n"/>
      <c r="K4" s="6" t="n"/>
      <c r="L4" s="6" t="n"/>
      <c r="M4" s="6" t="n"/>
      <c r="N4" s="6" t="n"/>
      <c r="O4" s="6" t="n"/>
      <c r="P4" s="6" t="n"/>
      <c r="Q4" s="6" t="n"/>
      <c r="R4" s="6" t="n"/>
      <c r="S4" s="6" t="n"/>
      <c r="T4" s="6" t="n"/>
      <c r="U4" s="6" t="n"/>
      <c r="V4" s="6" t="n"/>
      <c r="W4" s="6" t="n"/>
      <c r="X4" s="6" t="n"/>
      <c r="Y4" s="6" t="n"/>
      <c r="Z4" s="6" t="n"/>
      <c r="AA4" s="6" t="n"/>
      <c r="AB4" s="6" t="n"/>
      <c r="AC4" s="6" t="n"/>
      <c r="AD4" s="6" t="n"/>
      <c r="AE4" s="6" t="n"/>
      <c r="AF4" s="6" t="n"/>
      <c r="AG4" s="6" t="n"/>
      <c r="AH4" s="6" t="n"/>
    </row>
    <row r="5" ht="22" customHeight="1">
      <c r="A5" s="8" t="n">
        <v>2</v>
      </c>
      <c r="B5" s="10" t="n"/>
      <c r="C5" s="11">
        <f>IF(E5="","",UPPER(LEFT(D5,3))&amp;"-"&amp;TEXT(2,"000"))</f>
        <v/>
      </c>
      <c r="D5" s="10" t="n"/>
      <c r="E5" s="10" t="n"/>
      <c r="F5" s="10" t="n"/>
      <c r="G5" s="10" t="n"/>
      <c r="H5" s="10" t="n"/>
      <c r="I5" s="10" t="n"/>
      <c r="J5" s="10" t="n"/>
      <c r="K5" s="10" t="n"/>
      <c r="L5" s="10" t="n"/>
      <c r="M5" s="10" t="n"/>
      <c r="N5" s="10" t="n"/>
      <c r="O5" s="10" t="n"/>
      <c r="P5" s="10" t="n"/>
      <c r="Q5" s="10" t="n"/>
      <c r="R5" s="10" t="n"/>
      <c r="S5" s="10" t="n"/>
      <c r="T5" s="10" t="n"/>
      <c r="U5" s="10" t="n"/>
      <c r="V5" s="10" t="n"/>
      <c r="W5" s="10" t="n"/>
      <c r="X5" s="10" t="n"/>
      <c r="Y5" s="10" t="n"/>
      <c r="Z5" s="10" t="n"/>
      <c r="AA5" s="10" t="n"/>
      <c r="AB5" s="10" t="n"/>
      <c r="AC5" s="10" t="n"/>
      <c r="AD5" s="10" t="n"/>
      <c r="AE5" s="10" t="n"/>
      <c r="AF5" s="10" t="n"/>
      <c r="AG5" s="10" t="n"/>
      <c r="AH5" s="10" t="n"/>
    </row>
    <row r="6" ht="22" customHeight="1">
      <c r="A6" s="4" t="n">
        <v>3</v>
      </c>
      <c r="B6" s="6" t="n"/>
      <c r="C6" s="7">
        <f>IF(E6="","",UPPER(LEFT(D6,3))&amp;"-"&amp;TEXT(3,"000"))</f>
        <v/>
      </c>
      <c r="D6" s="6" t="n"/>
      <c r="E6" s="6" t="n"/>
      <c r="F6" s="6" t="n"/>
      <c r="G6" s="6" t="n"/>
      <c r="H6" s="6" t="n"/>
      <c r="I6" s="6" t="n"/>
      <c r="J6" s="6" t="n"/>
      <c r="K6" s="6" t="n"/>
      <c r="L6" s="6" t="n"/>
      <c r="M6" s="6" t="n"/>
      <c r="N6" s="6" t="n"/>
      <c r="O6" s="6" t="n"/>
      <c r="P6" s="6" t="n"/>
      <c r="Q6" s="6" t="n"/>
      <c r="R6" s="6" t="n"/>
      <c r="S6" s="6" t="n"/>
      <c r="T6" s="6" t="n"/>
      <c r="U6" s="6" t="n"/>
      <c r="V6" s="6" t="n"/>
      <c r="W6" s="6" t="n"/>
      <c r="X6" s="6" t="n"/>
      <c r="Y6" s="6" t="n"/>
      <c r="Z6" s="6" t="n"/>
      <c r="AA6" s="6" t="n"/>
      <c r="AB6" s="6" t="n"/>
      <c r="AC6" s="6" t="n"/>
      <c r="AD6" s="6" t="n"/>
      <c r="AE6" s="6" t="n"/>
      <c r="AF6" s="6" t="n"/>
      <c r="AG6" s="6" t="n"/>
      <c r="AH6" s="6" t="n"/>
    </row>
    <row r="7" ht="22" customHeight="1">
      <c r="A7" s="8" t="n">
        <v>4</v>
      </c>
      <c r="B7" s="10" t="n"/>
      <c r="C7" s="11">
        <f>IF(E7="","",UPPER(LEFT(D7,3))&amp;"-"&amp;TEXT(4,"000"))</f>
        <v/>
      </c>
      <c r="D7" s="10" t="n"/>
      <c r="E7" s="10"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row>
    <row r="8" ht="22" customHeight="1">
      <c r="A8" s="4" t="n">
        <v>5</v>
      </c>
      <c r="B8" s="6" t="n"/>
      <c r="C8" s="7">
        <f>IF(E8="","",UPPER(LEFT(D8,3))&amp;"-"&amp;TEXT(5,"000"))</f>
        <v/>
      </c>
      <c r="D8" s="6" t="n"/>
      <c r="E8" s="6" t="n"/>
      <c r="F8" s="6" t="n"/>
      <c r="G8" s="6"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row>
    <row r="9" ht="22" customHeight="1">
      <c r="A9" s="8" t="n">
        <v>6</v>
      </c>
      <c r="B9" s="10" t="n"/>
      <c r="C9" s="11">
        <f>IF(E9="","",UPPER(LEFT(D9,3))&amp;"-"&amp;TEXT(6,"000"))</f>
        <v/>
      </c>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row>
    <row r="10" ht="22" customHeight="1">
      <c r="A10" s="4" t="n">
        <v>7</v>
      </c>
      <c r="B10" s="6" t="n"/>
      <c r="C10" s="7">
        <f>IF(E10="","",UPPER(LEFT(D10,3))&amp;"-"&amp;TEXT(7,"000"))</f>
        <v/>
      </c>
      <c r="D10" s="6" t="n"/>
      <c r="E10" s="6" t="n"/>
      <c r="F10" s="6"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n"/>
      <c r="AG10" s="6" t="n"/>
      <c r="AH10" s="6" t="n"/>
    </row>
    <row r="11" ht="22" customHeight="1">
      <c r="A11" s="8" t="n">
        <v>8</v>
      </c>
      <c r="B11" s="10" t="n"/>
      <c r="C11" s="11">
        <f>IF(E11="","",UPPER(LEFT(D11,3))&amp;"-"&amp;TEXT(8,"000"))</f>
        <v/>
      </c>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row>
    <row r="12" ht="22" customHeight="1">
      <c r="A12" s="4" t="n">
        <v>9</v>
      </c>
      <c r="B12" s="6" t="n"/>
      <c r="C12" s="7">
        <f>IF(E12="","",UPPER(LEFT(D12,3))&amp;"-"&amp;TEXT(9,"000"))</f>
        <v/>
      </c>
      <c r="D12" s="6" t="n"/>
      <c r="E12" s="6" t="n"/>
      <c r="F12" s="6"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c r="AE12" s="6" t="n"/>
      <c r="AF12" s="6" t="n"/>
      <c r="AG12" s="6" t="n"/>
      <c r="AH12" s="6" t="n"/>
    </row>
    <row r="13" ht="22" customHeight="1">
      <c r="A13" s="8" t="n">
        <v>10</v>
      </c>
      <c r="B13" s="10" t="n"/>
      <c r="C13" s="11">
        <f>IF(E13="","",UPPER(LEFT(D13,3))&amp;"-"&amp;TEXT(10,"000"))</f>
        <v/>
      </c>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row>
    <row r="14" ht="22" customHeight="1">
      <c r="A14" s="4" t="n">
        <v>11</v>
      </c>
      <c r="B14" s="6" t="n"/>
      <c r="C14" s="7">
        <f>IF(E14="","",UPPER(LEFT(D14,3))&amp;"-"&amp;TEXT(11,"000"))</f>
        <v/>
      </c>
      <c r="D14" s="6" t="n"/>
      <c r="E14" s="6" t="n"/>
      <c r="F14" s="6"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row>
    <row r="15" ht="22" customHeight="1">
      <c r="A15" s="8" t="n">
        <v>12</v>
      </c>
      <c r="B15" s="10" t="n"/>
      <c r="C15" s="11">
        <f>IF(E15="","",UPPER(LEFT(D15,3))&amp;"-"&amp;TEXT(12,"000"))</f>
        <v/>
      </c>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row>
    <row r="16" ht="22" customHeight="1">
      <c r="A16" s="4" t="n">
        <v>13</v>
      </c>
      <c r="B16" s="6" t="n"/>
      <c r="C16" s="7">
        <f>IF(E16="","",UPPER(LEFT(D16,3))&amp;"-"&amp;TEXT(13,"000"))</f>
        <v/>
      </c>
      <c r="D16" s="6" t="n"/>
      <c r="E16" s="6" t="n"/>
      <c r="F16" s="6" t="n"/>
      <c r="G16" s="6" t="n"/>
      <c r="H16" s="6" t="n"/>
      <c r="I16" s="6" t="n"/>
      <c r="J16" s="6" t="n"/>
      <c r="K16" s="6" t="n"/>
      <c r="L16" s="6" t="n"/>
      <c r="M16" s="6" t="n"/>
      <c r="N16" s="6" t="n"/>
      <c r="O16" s="6" t="n"/>
      <c r="P16" s="6" t="n"/>
      <c r="Q16" s="6" t="n"/>
      <c r="R16" s="6" t="n"/>
      <c r="S16" s="6" t="n"/>
      <c r="T16" s="6" t="n"/>
      <c r="U16" s="6" t="n"/>
      <c r="V16" s="6" t="n"/>
      <c r="W16" s="6" t="n"/>
      <c r="X16" s="6" t="n"/>
      <c r="Y16" s="6" t="n"/>
      <c r="Z16" s="6" t="n"/>
      <c r="AA16" s="6" t="n"/>
      <c r="AB16" s="6" t="n"/>
      <c r="AC16" s="6" t="n"/>
      <c r="AD16" s="6" t="n"/>
      <c r="AE16" s="6" t="n"/>
      <c r="AF16" s="6" t="n"/>
      <c r="AG16" s="6" t="n"/>
      <c r="AH16" s="6" t="n"/>
    </row>
    <row r="17" ht="22" customHeight="1">
      <c r="A17" s="8" t="n">
        <v>14</v>
      </c>
      <c r="B17" s="10" t="n"/>
      <c r="C17" s="11">
        <f>IF(E17="","",UPPER(LEFT(D17,3))&amp;"-"&amp;TEXT(14,"000"))</f>
        <v/>
      </c>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row>
    <row r="18" ht="22" customHeight="1">
      <c r="A18" s="4" t="n">
        <v>15</v>
      </c>
      <c r="B18" s="6" t="n"/>
      <c r="C18" s="7">
        <f>IF(E18="","",UPPER(LEFT(D18,3))&amp;"-"&amp;TEXT(15,"000"))</f>
        <v/>
      </c>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c r="Z18" s="6" t="n"/>
      <c r="AA18" s="6" t="n"/>
      <c r="AB18" s="6" t="n"/>
      <c r="AC18" s="6" t="n"/>
      <c r="AD18" s="6" t="n"/>
      <c r="AE18" s="6" t="n"/>
      <c r="AF18" s="6" t="n"/>
      <c r="AG18" s="6" t="n"/>
      <c r="AH18" s="6" t="n"/>
    </row>
    <row r="19" ht="22" customHeight="1">
      <c r="A19" s="8" t="n">
        <v>16</v>
      </c>
      <c r="B19" s="10" t="n"/>
      <c r="C19" s="11">
        <f>IF(E19="","",UPPER(LEFT(D19,3))&amp;"-"&amp;TEXT(16,"000"))</f>
        <v/>
      </c>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row>
    <row r="20" ht="22" customHeight="1">
      <c r="A20" s="4" t="n">
        <v>17</v>
      </c>
      <c r="B20" s="6" t="n"/>
      <c r="C20" s="7">
        <f>IF(E20="","",UPPER(LEFT(D20,3))&amp;"-"&amp;TEXT(17,"000"))</f>
        <v/>
      </c>
      <c r="D20" s="6" t="n"/>
      <c r="E20" s="6" t="n"/>
      <c r="F20" s="6" t="n"/>
      <c r="G20" s="6" t="n"/>
      <c r="H20" s="6" t="n"/>
      <c r="I20" s="6" t="n"/>
      <c r="J20" s="6" t="n"/>
      <c r="K20" s="6" t="n"/>
      <c r="L20" s="6" t="n"/>
      <c r="M20" s="6" t="n"/>
      <c r="N20" s="6" t="n"/>
      <c r="O20" s="6" t="n"/>
      <c r="P20" s="6" t="n"/>
      <c r="Q20" s="6" t="n"/>
      <c r="R20" s="6" t="n"/>
      <c r="S20" s="6" t="n"/>
      <c r="T20" s="6" t="n"/>
      <c r="U20" s="6" t="n"/>
      <c r="V20" s="6" t="n"/>
      <c r="W20" s="6" t="n"/>
      <c r="X20" s="6" t="n"/>
      <c r="Y20" s="6" t="n"/>
      <c r="Z20" s="6" t="n"/>
      <c r="AA20" s="6" t="n"/>
      <c r="AB20" s="6" t="n"/>
      <c r="AC20" s="6" t="n"/>
      <c r="AD20" s="6" t="n"/>
      <c r="AE20" s="6" t="n"/>
      <c r="AF20" s="6" t="n"/>
      <c r="AG20" s="6" t="n"/>
      <c r="AH20" s="6" t="n"/>
    </row>
    <row r="21" ht="22" customHeight="1">
      <c r="A21" s="8" t="n">
        <v>18</v>
      </c>
      <c r="B21" s="10" t="n"/>
      <c r="C21" s="11">
        <f>IF(E21="","",UPPER(LEFT(D21,3))&amp;"-"&amp;TEXT(18,"000"))</f>
        <v/>
      </c>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row>
    <row r="22" ht="22" customHeight="1">
      <c r="A22" s="4" t="n">
        <v>19</v>
      </c>
      <c r="B22" s="6" t="n"/>
      <c r="C22" s="7">
        <f>IF(E22="","",UPPER(LEFT(D22,3))&amp;"-"&amp;TEXT(19,"000"))</f>
        <v/>
      </c>
      <c r="D22" s="6" t="n"/>
      <c r="E22" s="6" t="n"/>
      <c r="F22" s="6" t="n"/>
      <c r="G22" s="6" t="n"/>
      <c r="H22" s="6" t="n"/>
      <c r="I22" s="6" t="n"/>
      <c r="J22" s="6" t="n"/>
      <c r="K22" s="6" t="n"/>
      <c r="L22" s="6" t="n"/>
      <c r="M22" s="6" t="n"/>
      <c r="N22" s="6" t="n"/>
      <c r="O22" s="6" t="n"/>
      <c r="P22" s="6" t="n"/>
      <c r="Q22" s="6" t="n"/>
      <c r="R22" s="6" t="n"/>
      <c r="S22" s="6" t="n"/>
      <c r="T22" s="6" t="n"/>
      <c r="U22" s="6" t="n"/>
      <c r="V22" s="6" t="n"/>
      <c r="W22" s="6" t="n"/>
      <c r="X22" s="6" t="n"/>
      <c r="Y22" s="6" t="n"/>
      <c r="Z22" s="6" t="n"/>
      <c r="AA22" s="6" t="n"/>
      <c r="AB22" s="6" t="n"/>
      <c r="AC22" s="6" t="n"/>
      <c r="AD22" s="6" t="n"/>
      <c r="AE22" s="6" t="n"/>
      <c r="AF22" s="6" t="n"/>
      <c r="AG22" s="6" t="n"/>
      <c r="AH22" s="6" t="n"/>
    </row>
    <row r="23" ht="22" customHeight="1">
      <c r="A23" s="8" t="n">
        <v>20</v>
      </c>
      <c r="B23" s="10" t="n"/>
      <c r="C23" s="11">
        <f>IF(E23="","",UPPER(LEFT(D23,3))&amp;"-"&amp;TEXT(20,"000"))</f>
        <v/>
      </c>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c r="AF23" s="10" t="n"/>
      <c r="AG23" s="10" t="n"/>
      <c r="AH23" s="10" t="n"/>
    </row>
    <row r="24" ht="22" customHeight="1">
      <c r="A24" s="4" t="n">
        <v>21</v>
      </c>
      <c r="B24" s="6" t="n"/>
      <c r="C24" s="7">
        <f>IF(E24="","",UPPER(LEFT(D24,3))&amp;"-"&amp;TEXT(21,"000"))</f>
        <v/>
      </c>
      <c r="D24" s="6" t="n"/>
      <c r="E24" s="6" t="n"/>
      <c r="F24" s="6" t="n"/>
      <c r="G24" s="6" t="n"/>
      <c r="H24" s="6" t="n"/>
      <c r="I24" s="6" t="n"/>
      <c r="J24" s="6" t="n"/>
      <c r="K24" s="6" t="n"/>
      <c r="L24" s="6" t="n"/>
      <c r="M24" s="6" t="n"/>
      <c r="N24" s="6" t="n"/>
      <c r="O24" s="6" t="n"/>
      <c r="P24" s="6" t="n"/>
      <c r="Q24" s="6" t="n"/>
      <c r="R24" s="6" t="n"/>
      <c r="S24" s="6" t="n"/>
      <c r="T24" s="6" t="n"/>
      <c r="U24" s="6" t="n"/>
      <c r="V24" s="6" t="n"/>
      <c r="W24" s="6" t="n"/>
      <c r="X24" s="6" t="n"/>
      <c r="Y24" s="6" t="n"/>
      <c r="Z24" s="6" t="n"/>
      <c r="AA24" s="6" t="n"/>
      <c r="AB24" s="6" t="n"/>
      <c r="AC24" s="6" t="n"/>
      <c r="AD24" s="6" t="n"/>
      <c r="AE24" s="6" t="n"/>
      <c r="AF24" s="6" t="n"/>
      <c r="AG24" s="6" t="n"/>
      <c r="AH24" s="6" t="n"/>
    </row>
    <row r="25" ht="22" customHeight="1">
      <c r="A25" s="8" t="n">
        <v>22</v>
      </c>
      <c r="B25" s="10" t="n"/>
      <c r="C25" s="11">
        <f>IF(E25="","",UPPER(LEFT(D25,3))&amp;"-"&amp;TEXT(22,"000"))</f>
        <v/>
      </c>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row>
    <row r="26" ht="22" customHeight="1">
      <c r="A26" s="4" t="n">
        <v>23</v>
      </c>
      <c r="B26" s="6" t="n"/>
      <c r="C26" s="7">
        <f>IF(E26="","",UPPER(LEFT(D26,3))&amp;"-"&amp;TEXT(23,"000"))</f>
        <v/>
      </c>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c r="Z26" s="6" t="n"/>
      <c r="AA26" s="6" t="n"/>
      <c r="AB26" s="6" t="n"/>
      <c r="AC26" s="6" t="n"/>
      <c r="AD26" s="6" t="n"/>
      <c r="AE26" s="6" t="n"/>
      <c r="AF26" s="6" t="n"/>
      <c r="AG26" s="6" t="n"/>
      <c r="AH26" s="6" t="n"/>
    </row>
    <row r="27" ht="22" customHeight="1">
      <c r="A27" s="8" t="n">
        <v>24</v>
      </c>
      <c r="B27" s="10" t="n"/>
      <c r="C27" s="11">
        <f>IF(E27="","",UPPER(LEFT(D27,3))&amp;"-"&amp;TEXT(24,"000"))</f>
        <v/>
      </c>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c r="AF27" s="10" t="n"/>
      <c r="AG27" s="10" t="n"/>
      <c r="AH27" s="10" t="n"/>
    </row>
    <row r="28" ht="22" customHeight="1">
      <c r="A28" s="4" t="n">
        <v>25</v>
      </c>
      <c r="B28" s="6" t="n"/>
      <c r="C28" s="7">
        <f>IF(E28="","",UPPER(LEFT(D28,3))&amp;"-"&amp;TEXT(25,"000"))</f>
        <v/>
      </c>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c r="AA28" s="6" t="n"/>
      <c r="AB28" s="6" t="n"/>
      <c r="AC28" s="6" t="n"/>
      <c r="AD28" s="6" t="n"/>
      <c r="AE28" s="6" t="n"/>
      <c r="AF28" s="6" t="n"/>
      <c r="AG28" s="6" t="n"/>
      <c r="AH28" s="6" t="n"/>
    </row>
    <row r="29" ht="22" customHeight="1">
      <c r="A29" s="8" t="n">
        <v>26</v>
      </c>
      <c r="B29" s="10" t="n"/>
      <c r="C29" s="11">
        <f>IF(E29="","",UPPER(LEFT(D29,3))&amp;"-"&amp;TEXT(26,"000"))</f>
        <v/>
      </c>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row>
    <row r="30" ht="22" customHeight="1">
      <c r="A30" s="4" t="n">
        <v>27</v>
      </c>
      <c r="B30" s="6" t="n"/>
      <c r="C30" s="7">
        <f>IF(E30="","",UPPER(LEFT(D30,3))&amp;"-"&amp;TEXT(27,"000"))</f>
        <v/>
      </c>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c r="AC30" s="6" t="n"/>
      <c r="AD30" s="6" t="n"/>
      <c r="AE30" s="6" t="n"/>
      <c r="AF30" s="6" t="n"/>
      <c r="AG30" s="6" t="n"/>
      <c r="AH30" s="6" t="n"/>
    </row>
    <row r="31" ht="22" customHeight="1">
      <c r="A31" s="8" t="n">
        <v>28</v>
      </c>
      <c r="B31" s="10" t="n"/>
      <c r="C31" s="11">
        <f>IF(E31="","",UPPER(LEFT(D31,3))&amp;"-"&amp;TEXT(28,"000"))</f>
        <v/>
      </c>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10" t="n"/>
      <c r="AC31" s="10" t="n"/>
      <c r="AD31" s="10" t="n"/>
      <c r="AE31" s="10" t="n"/>
      <c r="AF31" s="10" t="n"/>
      <c r="AG31" s="10" t="n"/>
      <c r="AH31" s="10" t="n"/>
    </row>
    <row r="32" ht="22" customHeight="1">
      <c r="A32" s="4" t="n">
        <v>29</v>
      </c>
      <c r="B32" s="6" t="n"/>
      <c r="C32" s="7">
        <f>IF(E32="","",UPPER(LEFT(D32,3))&amp;"-"&amp;TEXT(29,"000"))</f>
        <v/>
      </c>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c r="AA32" s="6" t="n"/>
      <c r="AB32" s="6" t="n"/>
      <c r="AC32" s="6" t="n"/>
      <c r="AD32" s="6" t="n"/>
      <c r="AE32" s="6" t="n"/>
      <c r="AF32" s="6" t="n"/>
      <c r="AG32" s="6" t="n"/>
      <c r="AH32" s="6" t="n"/>
    </row>
    <row r="33" ht="22" customHeight="1">
      <c r="A33" s="8" t="n">
        <v>30</v>
      </c>
      <c r="B33" s="10" t="n"/>
      <c r="C33" s="11">
        <f>IF(E33="","",UPPER(LEFT(D33,3))&amp;"-"&amp;TEXT(30,"000"))</f>
        <v/>
      </c>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c r="AD33" s="10" t="n"/>
      <c r="AE33" s="10" t="n"/>
      <c r="AF33" s="10" t="n"/>
      <c r="AG33" s="10" t="n"/>
      <c r="AH33" s="10" t="n"/>
    </row>
    <row r="34" ht="22" customHeight="1">
      <c r="A34" s="4" t="n">
        <v>31</v>
      </c>
      <c r="B34" s="6" t="n"/>
      <c r="C34" s="7">
        <f>IF(E34="","",UPPER(LEFT(D34,3))&amp;"-"&amp;TEXT(31,"000"))</f>
        <v/>
      </c>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c r="AA34" s="6" t="n"/>
      <c r="AB34" s="6" t="n"/>
      <c r="AC34" s="6" t="n"/>
      <c r="AD34" s="6" t="n"/>
      <c r="AE34" s="6" t="n"/>
      <c r="AF34" s="6" t="n"/>
      <c r="AG34" s="6" t="n"/>
      <c r="AH34" s="6" t="n"/>
    </row>
    <row r="35" ht="22" customHeight="1">
      <c r="A35" s="8" t="n">
        <v>32</v>
      </c>
      <c r="B35" s="10" t="n"/>
      <c r="C35" s="11">
        <f>IF(E35="","",UPPER(LEFT(D35,3))&amp;"-"&amp;TEXT(32,"000"))</f>
        <v/>
      </c>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c r="AH35" s="10" t="n"/>
    </row>
    <row r="36" ht="22" customHeight="1">
      <c r="A36" s="4" t="n">
        <v>33</v>
      </c>
      <c r="B36" s="6" t="n"/>
      <c r="C36" s="7">
        <f>IF(E36="","",UPPER(LEFT(D36,3))&amp;"-"&amp;TEXT(33,"000"))</f>
        <v/>
      </c>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c r="AA36" s="6" t="n"/>
      <c r="AB36" s="6" t="n"/>
      <c r="AC36" s="6" t="n"/>
      <c r="AD36" s="6" t="n"/>
      <c r="AE36" s="6" t="n"/>
      <c r="AF36" s="6" t="n"/>
      <c r="AG36" s="6" t="n"/>
      <c r="AH36" s="6" t="n"/>
    </row>
    <row r="37" ht="22" customHeight="1">
      <c r="A37" s="8" t="n">
        <v>34</v>
      </c>
      <c r="B37" s="10" t="n"/>
      <c r="C37" s="11">
        <f>IF(E37="","",UPPER(LEFT(D37,3))&amp;"-"&amp;TEXT(34,"000"))</f>
        <v/>
      </c>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c r="AE37" s="10" t="n"/>
      <c r="AF37" s="10" t="n"/>
      <c r="AG37" s="10" t="n"/>
      <c r="AH37" s="10" t="n"/>
    </row>
    <row r="38" ht="22" customHeight="1">
      <c r="A38" s="4" t="n">
        <v>35</v>
      </c>
      <c r="B38" s="6" t="n"/>
      <c r="C38" s="7">
        <f>IF(E38="","",UPPER(LEFT(D38,3))&amp;"-"&amp;TEXT(35,"000"))</f>
        <v/>
      </c>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c r="AA38" s="6" t="n"/>
      <c r="AB38" s="6" t="n"/>
      <c r="AC38" s="6" t="n"/>
      <c r="AD38" s="6" t="n"/>
      <c r="AE38" s="6" t="n"/>
      <c r="AF38" s="6" t="n"/>
      <c r="AG38" s="6" t="n"/>
      <c r="AH38" s="6" t="n"/>
    </row>
    <row r="39" ht="22" customHeight="1">
      <c r="A39" s="8" t="n">
        <v>36</v>
      </c>
      <c r="B39" s="10" t="n"/>
      <c r="C39" s="11">
        <f>IF(E39="","",UPPER(LEFT(D39,3))&amp;"-"&amp;TEXT(36,"000"))</f>
        <v/>
      </c>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c r="AD39" s="10" t="n"/>
      <c r="AE39" s="10" t="n"/>
      <c r="AF39" s="10" t="n"/>
      <c r="AG39" s="10" t="n"/>
      <c r="AH39" s="10" t="n"/>
    </row>
    <row r="40" ht="22" customHeight="1">
      <c r="A40" s="4" t="n">
        <v>37</v>
      </c>
      <c r="B40" s="6" t="n"/>
      <c r="C40" s="7">
        <f>IF(E40="","",UPPER(LEFT(D40,3))&amp;"-"&amp;TEXT(37,"000"))</f>
        <v/>
      </c>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c r="AA40" s="6" t="n"/>
      <c r="AB40" s="6" t="n"/>
      <c r="AC40" s="6" t="n"/>
      <c r="AD40" s="6" t="n"/>
      <c r="AE40" s="6" t="n"/>
      <c r="AF40" s="6" t="n"/>
      <c r="AG40" s="6" t="n"/>
      <c r="AH40" s="6" t="n"/>
    </row>
    <row r="41" ht="22" customHeight="1">
      <c r="A41" s="8" t="n">
        <v>38</v>
      </c>
      <c r="B41" s="10" t="n"/>
      <c r="C41" s="11">
        <f>IF(E41="","",UPPER(LEFT(D41,3))&amp;"-"&amp;TEXT(38,"000"))</f>
        <v/>
      </c>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c r="AD41" s="10" t="n"/>
      <c r="AE41" s="10" t="n"/>
      <c r="AF41" s="10" t="n"/>
      <c r="AG41" s="10" t="n"/>
      <c r="AH41" s="10" t="n"/>
    </row>
    <row r="42" ht="22" customHeight="1">
      <c r="A42" s="4" t="n">
        <v>39</v>
      </c>
      <c r="B42" s="6" t="n"/>
      <c r="C42" s="7">
        <f>IF(E42="","",UPPER(LEFT(D42,3))&amp;"-"&amp;TEXT(39,"000"))</f>
        <v/>
      </c>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c r="AA42" s="6" t="n"/>
      <c r="AB42" s="6" t="n"/>
      <c r="AC42" s="6" t="n"/>
      <c r="AD42" s="6" t="n"/>
      <c r="AE42" s="6" t="n"/>
      <c r="AF42" s="6" t="n"/>
      <c r="AG42" s="6" t="n"/>
      <c r="AH42" s="6" t="n"/>
    </row>
    <row r="43" ht="22" customHeight="1">
      <c r="A43" s="8" t="n">
        <v>40</v>
      </c>
      <c r="B43" s="10" t="n"/>
      <c r="C43" s="11">
        <f>IF(E43="","",UPPER(LEFT(D43,3))&amp;"-"&amp;TEXT(40,"000"))</f>
        <v/>
      </c>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row>
    <row r="44" ht="22" customHeight="1">
      <c r="A44" s="4" t="n">
        <v>41</v>
      </c>
      <c r="B44" s="6" t="n"/>
      <c r="C44" s="7">
        <f>IF(E44="","",UPPER(LEFT(D44,3))&amp;"-"&amp;TEXT(41,"000"))</f>
        <v/>
      </c>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c r="AA44" s="6" t="n"/>
      <c r="AB44" s="6" t="n"/>
      <c r="AC44" s="6" t="n"/>
      <c r="AD44" s="6" t="n"/>
      <c r="AE44" s="6" t="n"/>
      <c r="AF44" s="6" t="n"/>
      <c r="AG44" s="6" t="n"/>
      <c r="AH44" s="6" t="n"/>
    </row>
    <row r="45" ht="22" customHeight="1">
      <c r="A45" s="8" t="n">
        <v>42</v>
      </c>
      <c r="B45" s="10" t="n"/>
      <c r="C45" s="11">
        <f>IF(E45="","",UPPER(LEFT(D45,3))&amp;"-"&amp;TEXT(42,"000"))</f>
        <v/>
      </c>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row>
    <row r="46" ht="22" customHeight="1">
      <c r="A46" s="4" t="n">
        <v>43</v>
      </c>
      <c r="B46" s="6" t="n"/>
      <c r="C46" s="7">
        <f>IF(E46="","",UPPER(LEFT(D46,3))&amp;"-"&amp;TEXT(43,"000"))</f>
        <v/>
      </c>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c r="AA46" s="6" t="n"/>
      <c r="AB46" s="6" t="n"/>
      <c r="AC46" s="6" t="n"/>
      <c r="AD46" s="6" t="n"/>
      <c r="AE46" s="6" t="n"/>
      <c r="AF46" s="6" t="n"/>
      <c r="AG46" s="6" t="n"/>
      <c r="AH46" s="6" t="n"/>
    </row>
    <row r="47" ht="22" customHeight="1">
      <c r="A47" s="8" t="n">
        <v>44</v>
      </c>
      <c r="B47" s="10" t="n"/>
      <c r="C47" s="11">
        <f>IF(E47="","",UPPER(LEFT(D47,3))&amp;"-"&amp;TEXT(44,"000"))</f>
        <v/>
      </c>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c r="AH47" s="10" t="n"/>
    </row>
    <row r="48" ht="22" customHeight="1">
      <c r="A48" s="4" t="n">
        <v>45</v>
      </c>
      <c r="B48" s="6" t="n"/>
      <c r="C48" s="7">
        <f>IF(E48="","",UPPER(LEFT(D48,3))&amp;"-"&amp;TEXT(45,"000"))</f>
        <v/>
      </c>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c r="AA48" s="6" t="n"/>
      <c r="AB48" s="6" t="n"/>
      <c r="AC48" s="6" t="n"/>
      <c r="AD48" s="6" t="n"/>
      <c r="AE48" s="6" t="n"/>
      <c r="AF48" s="6" t="n"/>
      <c r="AG48" s="6" t="n"/>
      <c r="AH48" s="6" t="n"/>
    </row>
    <row r="49" ht="22" customHeight="1">
      <c r="A49" s="8" t="n">
        <v>46</v>
      </c>
      <c r="B49" s="10" t="n"/>
      <c r="C49" s="11">
        <f>IF(E49="","",UPPER(LEFT(D49,3))&amp;"-"&amp;TEXT(46,"000"))</f>
        <v/>
      </c>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c r="AH49" s="10" t="n"/>
    </row>
    <row r="50" ht="22" customHeight="1">
      <c r="A50" s="4" t="n">
        <v>47</v>
      </c>
      <c r="B50" s="6" t="n"/>
      <c r="C50" s="7">
        <f>IF(E50="","",UPPER(LEFT(D50,3))&amp;"-"&amp;TEXT(47,"000"))</f>
        <v/>
      </c>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c r="AA50" s="6" t="n"/>
      <c r="AB50" s="6" t="n"/>
      <c r="AC50" s="6" t="n"/>
      <c r="AD50" s="6" t="n"/>
      <c r="AE50" s="6" t="n"/>
      <c r="AF50" s="6" t="n"/>
      <c r="AG50" s="6" t="n"/>
      <c r="AH50" s="6" t="n"/>
    </row>
    <row r="51" ht="22" customHeight="1">
      <c r="A51" s="8" t="n">
        <v>48</v>
      </c>
      <c r="B51" s="10" t="n"/>
      <c r="C51" s="11">
        <f>IF(E51="","",UPPER(LEFT(D51,3))&amp;"-"&amp;TEXT(48,"000"))</f>
        <v/>
      </c>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c r="AD51" s="10" t="n"/>
      <c r="AE51" s="10" t="n"/>
      <c r="AF51" s="10" t="n"/>
      <c r="AG51" s="10" t="n"/>
      <c r="AH51" s="10" t="n"/>
    </row>
    <row r="52" ht="22" customHeight="1">
      <c r="A52" s="4" t="n">
        <v>49</v>
      </c>
      <c r="B52" s="6" t="n"/>
      <c r="C52" s="7">
        <f>IF(E52="","",UPPER(LEFT(D52,3))&amp;"-"&amp;TEXT(49,"000"))</f>
        <v/>
      </c>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c r="AA52" s="6" t="n"/>
      <c r="AB52" s="6" t="n"/>
      <c r="AC52" s="6" t="n"/>
      <c r="AD52" s="6" t="n"/>
      <c r="AE52" s="6" t="n"/>
      <c r="AF52" s="6" t="n"/>
      <c r="AG52" s="6" t="n"/>
      <c r="AH52" s="6" t="n"/>
    </row>
    <row r="53" ht="22" customHeight="1">
      <c r="A53" s="8" t="n">
        <v>50</v>
      </c>
      <c r="B53" s="10" t="n"/>
      <c r="C53" s="11">
        <f>IF(E53="","",UPPER(LEFT(D53,3))&amp;"-"&amp;TEXT(50,"000"))</f>
        <v/>
      </c>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c r="AF53" s="10" t="n"/>
      <c r="AG53" s="10" t="n"/>
      <c r="AH53" s="10" t="n"/>
    </row>
  </sheetData>
  <mergeCells count="2">
    <mergeCell ref="A2:AH2"/>
    <mergeCell ref="A1:AH1"/>
  </mergeCells>
  <conditionalFormatting sqref="AB4:AB53">
    <cfRule type="containsText" priority="1" operator="containsText" dxfId="0" text="Approved">
      <formula>NOT(ISERROR(SEARCH("Approved",AB4)))</formula>
    </cfRule>
    <cfRule type="containsText" priority="2" operator="containsText" dxfId="0" text="Published">
      <formula>NOT(ISERROR(SEARCH("Published",AB4)))</formula>
    </cfRule>
    <cfRule type="containsText" priority="3" operator="containsText" dxfId="0" text="Live">
      <formula>NOT(ISERROR(SEARCH("Live",AB4)))</formula>
    </cfRule>
    <cfRule type="containsText" priority="4" operator="containsText" dxfId="1" text="Cancelled">
      <formula>NOT(ISERROR(SEARCH("Cancelled",AB4)))</formula>
    </cfRule>
    <cfRule type="containsText" priority="5" operator="containsText" dxfId="1" text="Rejected">
      <formula>NOT(ISERROR(SEARCH("Rejected",AB4)))</formula>
    </cfRule>
    <cfRule type="containsText" priority="6" operator="containsText" dxfId="2" text="On Hold">
      <formula>NOT(ISERROR(SEARCH("On Hold",AB4)))</formula>
    </cfRule>
    <cfRule type="containsText" priority="7" operator="containsText" dxfId="2" text="Revision">
      <formula>NOT(ISERROR(SEARCH("Revision",AB4)))</formula>
    </cfRule>
    <cfRule type="containsText" priority="8" operator="containsText" dxfId="2" text="Changes">
      <formula>NOT(ISERROR(SEARCH("Changes",AB4)))</formula>
    </cfRule>
  </conditionalFormatting>
  <conditionalFormatting sqref="AC4:AC53">
    <cfRule type="containsText" priority="9" operator="containsText" dxfId="0" text="Approved">
      <formula>NOT(ISERROR(SEARCH("Approved",AC4)))</formula>
    </cfRule>
    <cfRule type="containsText" priority="10" operator="containsText" dxfId="1" text="Rejected">
      <formula>NOT(ISERROR(SEARCH("Rejected",AC4)))</formula>
    </cfRule>
    <cfRule type="containsText" priority="11" operator="containsText" dxfId="2" text="Changes">
      <formula>NOT(ISERROR(SEARCH("Changes",AC4)))</formula>
    </cfRule>
  </conditionalFormatting>
  <conditionalFormatting sqref="AD4:AD53">
    <cfRule type="containsText" priority="12" operator="containsText" dxfId="0" text="Approved">
      <formula>NOT(ISERROR(SEARCH("Approved",AD4)))</formula>
    </cfRule>
    <cfRule type="containsText" priority="13" operator="containsText" dxfId="1" text="Rejected">
      <formula>NOT(ISERROR(SEARCH("Rejected",AD4)))</formula>
    </cfRule>
    <cfRule type="containsText" priority="14" operator="containsText" dxfId="2" text="Changes">
      <formula>NOT(ISERROR(SEARCH("Changes",AD4)))</formula>
    </cfRule>
  </conditionalFormatting>
  <dataValidations count="14">
    <dataValidation sqref="D4:D53" showDropDown="0" showInputMessage="1" showErrorMessage="1" allowBlank="1" errorTitle="Invalid" error="Select from list." promptTitle="Vertical" prompt="Select vertical." type="list">
      <formula1>"Digital Transformation,Industrial Goods &amp; Consumer Products,Structural Engineering,MedTech,Energy &amp; Utilities,Sustainability,BFSI,Product Innovation,SolidPro AI,Other"</formula1>
    </dataValidation>
    <dataValidation sqref="AA4:AA53" showDropDown="0" showInputMessage="1" showErrorMessage="1" allowBlank="1" errorTitle="Invalid" error="Select from list." promptTitle="Priority" prompt="Urgency level." type="list">
      <formula1>"🔴 Critical,🟠 High,🟡 Medium,🟢 Low"</formula1>
    </dataValidation>
    <dataValidation sqref="AB4:AB53" showDropDown="0" showInputMessage="1" showErrorMessage="1" allowBlank="1" errorTitle="Invalid" error="Select from list." promptTitle="Status" prompt="Workflow status." type="list">
      <formula1>"📋 Briefed,✍ In Progress,🔁 In Revision,✅ Approved by Project Head,✅ Approved by Manager,🚀 Published / Live,⏸ On Hold,❌ Cancelled"</formula1>
    </dataValidation>
    <dataValidation sqref="AC4:AC53" showDropDown="0" showInputMessage="1" showErrorMessage="1" allowBlank="1" errorTitle="Invalid" error="Select from list." promptTitle="Project Head" prompt="Approval from Project Head." type="list">
      <formula1>"⏳ Pending,✅ Approved,🔁 Changes Requested,❌ Rejected"</formula1>
    </dataValidation>
    <dataValidation sqref="AD4:AD53" showDropDown="0" showInputMessage="1" showErrorMessage="1" allowBlank="1" errorTitle="Invalid" error="Select from list." promptTitle="Manager" prompt="Approval from Manager." type="list">
      <formula1>"⏳ Pending,✅ Approved,🔁 Changes Requested,❌ Rejected"</formula1>
    </dataValidation>
    <dataValidation sqref="AH4:AH53" showDropDown="0" showInputMessage="1" showErrorMessage="1" allowBlank="1" errorTitle="Invalid" error="Select from list." promptTitle="Archived" prompt="Mark Yes when done." type="list">
      <formula1>"No,Yes"</formula1>
    </dataValidation>
    <dataValidation sqref="X4:X53" showDropDown="0" showInputMessage="1" showErrorMessage="1" allowBlank="1" errorTitle="Invalid Date" error="Enter a valid date." promptTitle="Enter Date" prompt="Format: DD-MM-YYYY" type="date" operator="greaterThan">
      <formula1>DATE(2024,1,1)</formula1>
    </dataValidation>
    <dataValidation sqref="Y4:Y53" showDropDown="0" showInputMessage="1" showErrorMessage="1" allowBlank="1" errorTitle="Invalid Date" error="Enter a valid date." promptTitle="Enter Date" prompt="Format: DD-MM-YYYY" type="date" operator="greaterThan">
      <formula1>DATE(2024,1,1)</formula1>
    </dataValidation>
    <dataValidation sqref="Z4:Z53" showDropDown="0" showInputMessage="1" showErrorMessage="1" allowBlank="1" errorTitle="Invalid Date" error="Enter a valid date." promptTitle="Enter Date" prompt="Format: DD-MM-YYYY" type="date" operator="greaterThan">
      <formula1>DATE(2024,1,1)</formula1>
    </dataValidation>
    <dataValidation sqref="F4:F53" showDropDown="0" showInputMessage="1" showErrorMessage="1" allowBlank="1" errorTitle="Invalid" error="Select from list." promptTitle="Ad Platform" prompt="Where the ad will run." type="list">
      <formula1>"LinkedIn Ads,Google Search,Google Display,Meta Ads,Twitter/X Ads,YouTube Ads,Programmatic,Other"</formula1>
    </dataValidation>
    <dataValidation sqref="G4:G53" showDropDown="0" showInputMessage="1" showErrorMessage="1" allowBlank="1" errorTitle="Invalid" error="Select from list." promptTitle="Ad Format" prompt="Creative format." type="list">
      <formula1>"Single Image,Carousel,Video Ad,Lead Gen Form,Sponsored Content,Text Ad,Responsive Display,Other"</formula1>
    </dataValidation>
    <dataValidation sqref="H4:H53" showDropDown="0" showInputMessage="1" showErrorMessage="1" allowBlank="1" errorTitle="Invalid" error="Select from list." promptTitle="Ad Objective" prompt="Campaign objective." type="list">
      <formula1>"Brand Awareness,Lead Generation,Traffic,Engagement,Conversions,Retargeting,Other"</formula1>
    </dataValidation>
    <dataValidation sqref="Q4:Q53" showDropDown="0" showInputMessage="1" showErrorMessage="1" allowBlank="1" errorTitle="Invalid Date" error="Enter a valid date." promptTitle="Enter Date" prompt="Format: DD-MM-YYYY" type="date" operator="greaterThan">
      <formula1>DATE(2024,1,1)</formula1>
    </dataValidation>
    <dataValidation sqref="R4:R53" showDropDown="0" showInputMessage="1" showErrorMessage="1" allowBlank="1" errorTitle="Invalid Date" error="Enter a valid date." promptTitle="Enter Date" prompt="Format: DD-MM-YYYY" type="date" operator="greaterThan">
      <formula1>DATE(2024,1,1)</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G53"/>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6" customWidth="1" min="2" max="2"/>
    <col width="14" customWidth="1" min="3" max="3"/>
    <col width="22" customWidth="1" min="4" max="4"/>
    <col width="32" customWidth="1" min="5" max="5"/>
    <col width="20" customWidth="1" min="6" max="6"/>
    <col width="30" customWidth="1" min="7" max="7"/>
    <col width="26" customWidth="1" min="8" max="8"/>
    <col width="30" customWidth="1" min="9" max="9"/>
    <col width="16" customWidth="1" min="10" max="10"/>
    <col width="16" customWidth="1" min="11" max="11"/>
    <col width="18" customWidth="1" min="12" max="12"/>
    <col width="16" customWidth="1" min="13" max="13"/>
    <col width="30" customWidth="1" min="14" max="14"/>
    <col width="22" customWidth="1" min="15" max="15"/>
    <col width="20" customWidth="1" min="16" max="16"/>
    <col width="18" customWidth="1" min="17" max="17"/>
    <col width="18" customWidth="1" min="18" max="18"/>
    <col width="20" customWidth="1" min="19" max="19"/>
    <col width="22" customWidth="1" min="20" max="20"/>
    <col width="20" customWidth="1" min="21" max="21"/>
    <col width="20" customWidth="1" min="22" max="22"/>
    <col width="14" customWidth="1" min="23" max="23"/>
    <col width="14" customWidth="1" min="24" max="24"/>
    <col width="14" customWidth="1" min="25" max="25"/>
    <col width="13" customWidth="1" min="26" max="26"/>
    <col width="26" customWidth="1" min="27" max="27"/>
    <col width="26" customWidth="1" min="28" max="28"/>
    <col width="22" customWidth="1" min="29" max="29"/>
    <col width="30" customWidth="1" min="30" max="30"/>
    <col width="12" customWidth="1" min="31" max="31"/>
    <col width="36" customWidth="1" min="32" max="32"/>
    <col width="12" customWidth="1" min="33" max="33"/>
  </cols>
  <sheetData>
    <row r="1" ht="34" customHeight="1">
      <c r="A1" s="24" t="inlineStr">
        <is>
          <t>SolidPro — SEO Tracker</t>
        </is>
      </c>
    </row>
    <row r="2" ht="16" customHeight="1">
      <c r="A2" s="2" t="inlineStr">
        <is>
          <t>Link each row to a Campaign ID from the Campaign Master sheet  |  * = Mandatory</t>
        </is>
      </c>
    </row>
    <row r="3" ht="30" customHeight="1">
      <c r="A3" s="25" t="inlineStr">
        <is>
          <t>S.No</t>
        </is>
      </c>
      <c r="B3" s="25" t="inlineStr">
        <is>
          <t>Campaign ID *</t>
        </is>
      </c>
      <c r="C3" s="25" t="inlineStr">
        <is>
          <t>Asset ID</t>
        </is>
      </c>
      <c r="D3" s="25" t="inlineStr">
        <is>
          <t>Vertical *</t>
        </is>
      </c>
      <c r="E3" s="25" t="inlineStr">
        <is>
          <t>Asset Name / Title *</t>
        </is>
      </c>
      <c r="F3" s="25" t="inlineStr">
        <is>
          <t>SEO Task Type</t>
        </is>
      </c>
      <c r="G3" s="25" t="inlineStr">
        <is>
          <t>Target Page / URL</t>
        </is>
      </c>
      <c r="H3" s="25" t="inlineStr">
        <is>
          <t>Primary Keyword</t>
        </is>
      </c>
      <c r="I3" s="25" t="inlineStr">
        <is>
          <t>Secondary Keywords</t>
        </is>
      </c>
      <c r="J3" s="25" t="inlineStr">
        <is>
          <t>Current Ranking</t>
        </is>
      </c>
      <c r="K3" s="25" t="inlineStr">
        <is>
          <t>Target Ranking</t>
        </is>
      </c>
      <c r="L3" s="25" t="inlineStr">
        <is>
          <t>Monthly Search Volume</t>
        </is>
      </c>
      <c r="M3" s="25" t="inlineStr">
        <is>
          <t>Keyword Difficulty</t>
        </is>
      </c>
      <c r="N3" s="25" t="inlineStr">
        <is>
          <t>On-Page Changes</t>
        </is>
      </c>
      <c r="O3" s="25" t="inlineStr">
        <is>
          <t>Backlink Target</t>
        </is>
      </c>
      <c r="P3" s="25" t="inlineStr">
        <is>
          <t>Linked Content ID</t>
        </is>
      </c>
      <c r="Q3" s="25" t="inlineStr">
        <is>
          <t>Linked LP ID</t>
        </is>
      </c>
      <c r="R3" s="25" t="inlineStr">
        <is>
          <t>Tool Used</t>
        </is>
      </c>
      <c r="S3" s="25" t="inlineStr">
        <is>
          <t>Tracking Implemented?</t>
        </is>
      </c>
      <c r="T3" s="25" t="inlineStr">
        <is>
          <t>Owner *</t>
        </is>
      </c>
      <c r="U3" s="25" t="inlineStr">
        <is>
          <t>Support</t>
        </is>
      </c>
      <c r="V3" s="25" t="inlineStr">
        <is>
          <t>Requested By</t>
        </is>
      </c>
      <c r="W3" s="25" t="inlineStr">
        <is>
          <t>Brief Date</t>
        </is>
      </c>
      <c r="X3" s="25" t="inlineStr">
        <is>
          <t>Due Date *</t>
        </is>
      </c>
      <c r="Y3" s="25" t="inlineStr">
        <is>
          <t>Pub / Post Date *</t>
        </is>
      </c>
      <c r="Z3" s="25" t="inlineStr">
        <is>
          <t>Priority</t>
        </is>
      </c>
      <c r="AA3" s="25" t="inlineStr">
        <is>
          <t>Status</t>
        </is>
      </c>
      <c r="AB3" s="25" t="inlineStr">
        <is>
          <t>Approved by Project Head</t>
        </is>
      </c>
      <c r="AC3" s="25" t="inlineStr">
        <is>
          <t>Approved by Manager</t>
        </is>
      </c>
      <c r="AD3" s="25" t="inlineStr">
        <is>
          <t>Final File / URL Link</t>
        </is>
      </c>
      <c r="AE3" s="25" t="inlineStr">
        <is>
          <t>Revision #</t>
        </is>
      </c>
      <c r="AF3" s="25" t="inlineStr">
        <is>
          <t>Feedback / Notes</t>
        </is>
      </c>
      <c r="AG3" s="25" t="inlineStr">
        <is>
          <t>Archived?</t>
        </is>
      </c>
    </row>
    <row r="4" ht="22" customHeight="1">
      <c r="A4" s="4" t="n">
        <v>1</v>
      </c>
      <c r="B4" s="6" t="n"/>
      <c r="C4" s="7">
        <f>IF(E4="","",UPPER(LEFT(D4,3))&amp;"-"&amp;TEXT(1,"000"))</f>
        <v/>
      </c>
      <c r="D4" s="6" t="n"/>
      <c r="E4" s="6" t="n"/>
      <c r="F4" s="6" t="n"/>
      <c r="G4" s="6" t="n"/>
      <c r="H4" s="6" t="n"/>
      <c r="I4" s="6" t="n"/>
      <c r="J4" s="6" t="n"/>
      <c r="K4" s="6" t="n"/>
      <c r="L4" s="6" t="n"/>
      <c r="M4" s="6" t="n"/>
      <c r="N4" s="6" t="n"/>
      <c r="O4" s="6" t="n"/>
      <c r="P4" s="6" t="n"/>
      <c r="Q4" s="6" t="n"/>
      <c r="R4" s="6" t="n"/>
      <c r="S4" s="6" t="n"/>
      <c r="T4" s="6" t="n"/>
      <c r="U4" s="6" t="n"/>
      <c r="V4" s="6" t="n"/>
      <c r="W4" s="6" t="n"/>
      <c r="X4" s="6" t="n"/>
      <c r="Y4" s="6" t="n"/>
      <c r="Z4" s="6" t="n"/>
      <c r="AA4" s="6" t="n"/>
      <c r="AB4" s="6" t="n"/>
      <c r="AC4" s="6" t="n"/>
      <c r="AD4" s="6" t="n"/>
      <c r="AE4" s="6" t="n"/>
      <c r="AF4" s="6" t="n"/>
      <c r="AG4" s="6" t="n"/>
    </row>
    <row r="5" ht="22" customHeight="1">
      <c r="A5" s="8" t="n">
        <v>2</v>
      </c>
      <c r="B5" s="10" t="n"/>
      <c r="C5" s="11">
        <f>IF(E5="","",UPPER(LEFT(D5,3))&amp;"-"&amp;TEXT(2,"000"))</f>
        <v/>
      </c>
      <c r="D5" s="10" t="n"/>
      <c r="E5" s="10" t="n"/>
      <c r="F5" s="10" t="n"/>
      <c r="G5" s="10" t="n"/>
      <c r="H5" s="10" t="n"/>
      <c r="I5" s="10" t="n"/>
      <c r="J5" s="10" t="n"/>
      <c r="K5" s="10" t="n"/>
      <c r="L5" s="10" t="n"/>
      <c r="M5" s="10" t="n"/>
      <c r="N5" s="10" t="n"/>
      <c r="O5" s="10" t="n"/>
      <c r="P5" s="10" t="n"/>
      <c r="Q5" s="10" t="n"/>
      <c r="R5" s="10" t="n"/>
      <c r="S5" s="10" t="n"/>
      <c r="T5" s="10" t="n"/>
      <c r="U5" s="10" t="n"/>
      <c r="V5" s="10" t="n"/>
      <c r="W5" s="10" t="n"/>
      <c r="X5" s="10" t="n"/>
      <c r="Y5" s="10" t="n"/>
      <c r="Z5" s="10" t="n"/>
      <c r="AA5" s="10" t="n"/>
      <c r="AB5" s="10" t="n"/>
      <c r="AC5" s="10" t="n"/>
      <c r="AD5" s="10" t="n"/>
      <c r="AE5" s="10" t="n"/>
      <c r="AF5" s="10" t="n"/>
      <c r="AG5" s="10" t="n"/>
    </row>
    <row r="6" ht="22" customHeight="1">
      <c r="A6" s="4" t="n">
        <v>3</v>
      </c>
      <c r="B6" s="6" t="n"/>
      <c r="C6" s="7">
        <f>IF(E6="","",UPPER(LEFT(D6,3))&amp;"-"&amp;TEXT(3,"000"))</f>
        <v/>
      </c>
      <c r="D6" s="6" t="n"/>
      <c r="E6" s="6" t="n"/>
      <c r="F6" s="6" t="n"/>
      <c r="G6" s="6" t="n"/>
      <c r="H6" s="6" t="n"/>
      <c r="I6" s="6" t="n"/>
      <c r="J6" s="6" t="n"/>
      <c r="K6" s="6" t="n"/>
      <c r="L6" s="6" t="n"/>
      <c r="M6" s="6" t="n"/>
      <c r="N6" s="6" t="n"/>
      <c r="O6" s="6" t="n"/>
      <c r="P6" s="6" t="n"/>
      <c r="Q6" s="6" t="n"/>
      <c r="R6" s="6" t="n"/>
      <c r="S6" s="6" t="n"/>
      <c r="T6" s="6" t="n"/>
      <c r="U6" s="6" t="n"/>
      <c r="V6" s="6" t="n"/>
      <c r="W6" s="6" t="n"/>
      <c r="X6" s="6" t="n"/>
      <c r="Y6" s="6" t="n"/>
      <c r="Z6" s="6" t="n"/>
      <c r="AA6" s="6" t="n"/>
      <c r="AB6" s="6" t="n"/>
      <c r="AC6" s="6" t="n"/>
      <c r="AD6" s="6" t="n"/>
      <c r="AE6" s="6" t="n"/>
      <c r="AF6" s="6" t="n"/>
      <c r="AG6" s="6" t="n"/>
    </row>
    <row r="7" ht="22" customHeight="1">
      <c r="A7" s="8" t="n">
        <v>4</v>
      </c>
      <c r="B7" s="10" t="n"/>
      <c r="C7" s="11">
        <f>IF(E7="","",UPPER(LEFT(D7,3))&amp;"-"&amp;TEXT(4,"000"))</f>
        <v/>
      </c>
      <c r="D7" s="10" t="n"/>
      <c r="E7" s="10"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row>
    <row r="8" ht="22" customHeight="1">
      <c r="A8" s="4" t="n">
        <v>5</v>
      </c>
      <c r="B8" s="6" t="n"/>
      <c r="C8" s="7">
        <f>IF(E8="","",UPPER(LEFT(D8,3))&amp;"-"&amp;TEXT(5,"000"))</f>
        <v/>
      </c>
      <c r="D8" s="6" t="n"/>
      <c r="E8" s="6" t="n"/>
      <c r="F8" s="6" t="n"/>
      <c r="G8" s="6"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row>
    <row r="9" ht="22" customHeight="1">
      <c r="A9" s="8" t="n">
        <v>6</v>
      </c>
      <c r="B9" s="10" t="n"/>
      <c r="C9" s="11">
        <f>IF(E9="","",UPPER(LEFT(D9,3))&amp;"-"&amp;TEXT(6,"000"))</f>
        <v/>
      </c>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row>
    <row r="10" ht="22" customHeight="1">
      <c r="A10" s="4" t="n">
        <v>7</v>
      </c>
      <c r="B10" s="6" t="n"/>
      <c r="C10" s="7">
        <f>IF(E10="","",UPPER(LEFT(D10,3))&amp;"-"&amp;TEXT(7,"000"))</f>
        <v/>
      </c>
      <c r="D10" s="6" t="n"/>
      <c r="E10" s="6" t="n"/>
      <c r="F10" s="6"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n"/>
      <c r="AG10" s="6" t="n"/>
    </row>
    <row r="11" ht="22" customHeight="1">
      <c r="A11" s="8" t="n">
        <v>8</v>
      </c>
      <c r="B11" s="10" t="n"/>
      <c r="C11" s="11">
        <f>IF(E11="","",UPPER(LEFT(D11,3))&amp;"-"&amp;TEXT(8,"000"))</f>
        <v/>
      </c>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row>
    <row r="12" ht="22" customHeight="1">
      <c r="A12" s="4" t="n">
        <v>9</v>
      </c>
      <c r="B12" s="6" t="n"/>
      <c r="C12" s="7">
        <f>IF(E12="","",UPPER(LEFT(D12,3))&amp;"-"&amp;TEXT(9,"000"))</f>
        <v/>
      </c>
      <c r="D12" s="6" t="n"/>
      <c r="E12" s="6" t="n"/>
      <c r="F12" s="6"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c r="AE12" s="6" t="n"/>
      <c r="AF12" s="6" t="n"/>
      <c r="AG12" s="6" t="n"/>
    </row>
    <row r="13" ht="22" customHeight="1">
      <c r="A13" s="8" t="n">
        <v>10</v>
      </c>
      <c r="B13" s="10" t="n"/>
      <c r="C13" s="11">
        <f>IF(E13="","",UPPER(LEFT(D13,3))&amp;"-"&amp;TEXT(10,"000"))</f>
        <v/>
      </c>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row>
    <row r="14" ht="22" customHeight="1">
      <c r="A14" s="4" t="n">
        <v>11</v>
      </c>
      <c r="B14" s="6" t="n"/>
      <c r="C14" s="7">
        <f>IF(E14="","",UPPER(LEFT(D14,3))&amp;"-"&amp;TEXT(11,"000"))</f>
        <v/>
      </c>
      <c r="D14" s="6" t="n"/>
      <c r="E14" s="6" t="n"/>
      <c r="F14" s="6"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row>
    <row r="15" ht="22" customHeight="1">
      <c r="A15" s="8" t="n">
        <v>12</v>
      </c>
      <c r="B15" s="10" t="n"/>
      <c r="C15" s="11">
        <f>IF(E15="","",UPPER(LEFT(D15,3))&amp;"-"&amp;TEXT(12,"000"))</f>
        <v/>
      </c>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c r="AD15" s="10" t="n"/>
      <c r="AE15" s="10" t="n"/>
      <c r="AF15" s="10" t="n"/>
      <c r="AG15" s="10" t="n"/>
    </row>
    <row r="16" ht="22" customHeight="1">
      <c r="A16" s="4" t="n">
        <v>13</v>
      </c>
      <c r="B16" s="6" t="n"/>
      <c r="C16" s="7">
        <f>IF(E16="","",UPPER(LEFT(D16,3))&amp;"-"&amp;TEXT(13,"000"))</f>
        <v/>
      </c>
      <c r="D16" s="6" t="n"/>
      <c r="E16" s="6" t="n"/>
      <c r="F16" s="6" t="n"/>
      <c r="G16" s="6" t="n"/>
      <c r="H16" s="6" t="n"/>
      <c r="I16" s="6" t="n"/>
      <c r="J16" s="6" t="n"/>
      <c r="K16" s="6" t="n"/>
      <c r="L16" s="6" t="n"/>
      <c r="M16" s="6" t="n"/>
      <c r="N16" s="6" t="n"/>
      <c r="O16" s="6" t="n"/>
      <c r="P16" s="6" t="n"/>
      <c r="Q16" s="6" t="n"/>
      <c r="R16" s="6" t="n"/>
      <c r="S16" s="6" t="n"/>
      <c r="T16" s="6" t="n"/>
      <c r="U16" s="6" t="n"/>
      <c r="V16" s="6" t="n"/>
      <c r="W16" s="6" t="n"/>
      <c r="X16" s="6" t="n"/>
      <c r="Y16" s="6" t="n"/>
      <c r="Z16" s="6" t="n"/>
      <c r="AA16" s="6" t="n"/>
      <c r="AB16" s="6" t="n"/>
      <c r="AC16" s="6" t="n"/>
      <c r="AD16" s="6" t="n"/>
      <c r="AE16" s="6" t="n"/>
      <c r="AF16" s="6" t="n"/>
      <c r="AG16" s="6" t="n"/>
    </row>
    <row r="17" ht="22" customHeight="1">
      <c r="A17" s="8" t="n">
        <v>14</v>
      </c>
      <c r="B17" s="10" t="n"/>
      <c r="C17" s="11">
        <f>IF(E17="","",UPPER(LEFT(D17,3))&amp;"-"&amp;TEXT(14,"000"))</f>
        <v/>
      </c>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10" t="n"/>
      <c r="AC17" s="10" t="n"/>
      <c r="AD17" s="10" t="n"/>
      <c r="AE17" s="10" t="n"/>
      <c r="AF17" s="10" t="n"/>
      <c r="AG17" s="10" t="n"/>
    </row>
    <row r="18" ht="22" customHeight="1">
      <c r="A18" s="4" t="n">
        <v>15</v>
      </c>
      <c r="B18" s="6" t="n"/>
      <c r="C18" s="7">
        <f>IF(E18="","",UPPER(LEFT(D18,3))&amp;"-"&amp;TEXT(15,"000"))</f>
        <v/>
      </c>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c r="Z18" s="6" t="n"/>
      <c r="AA18" s="6" t="n"/>
      <c r="AB18" s="6" t="n"/>
      <c r="AC18" s="6" t="n"/>
      <c r="AD18" s="6" t="n"/>
      <c r="AE18" s="6" t="n"/>
      <c r="AF18" s="6" t="n"/>
      <c r="AG18" s="6" t="n"/>
    </row>
    <row r="19" ht="22" customHeight="1">
      <c r="A19" s="8" t="n">
        <v>16</v>
      </c>
      <c r="B19" s="10" t="n"/>
      <c r="C19" s="11">
        <f>IF(E19="","",UPPER(LEFT(D19,3))&amp;"-"&amp;TEXT(16,"000"))</f>
        <v/>
      </c>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row>
    <row r="20" ht="22" customHeight="1">
      <c r="A20" s="4" t="n">
        <v>17</v>
      </c>
      <c r="B20" s="6" t="n"/>
      <c r="C20" s="7">
        <f>IF(E20="","",UPPER(LEFT(D20,3))&amp;"-"&amp;TEXT(17,"000"))</f>
        <v/>
      </c>
      <c r="D20" s="6" t="n"/>
      <c r="E20" s="6" t="n"/>
      <c r="F20" s="6" t="n"/>
      <c r="G20" s="6" t="n"/>
      <c r="H20" s="6" t="n"/>
      <c r="I20" s="6" t="n"/>
      <c r="J20" s="6" t="n"/>
      <c r="K20" s="6" t="n"/>
      <c r="L20" s="6" t="n"/>
      <c r="M20" s="6" t="n"/>
      <c r="N20" s="6" t="n"/>
      <c r="O20" s="6" t="n"/>
      <c r="P20" s="6" t="n"/>
      <c r="Q20" s="6" t="n"/>
      <c r="R20" s="6" t="n"/>
      <c r="S20" s="6" t="n"/>
      <c r="T20" s="6" t="n"/>
      <c r="U20" s="6" t="n"/>
      <c r="V20" s="6" t="n"/>
      <c r="W20" s="6" t="n"/>
      <c r="X20" s="6" t="n"/>
      <c r="Y20" s="6" t="n"/>
      <c r="Z20" s="6" t="n"/>
      <c r="AA20" s="6" t="n"/>
      <c r="AB20" s="6" t="n"/>
      <c r="AC20" s="6" t="n"/>
      <c r="AD20" s="6" t="n"/>
      <c r="AE20" s="6" t="n"/>
      <c r="AF20" s="6" t="n"/>
      <c r="AG20" s="6" t="n"/>
    </row>
    <row r="21" ht="22" customHeight="1">
      <c r="A21" s="8" t="n">
        <v>18</v>
      </c>
      <c r="B21" s="10" t="n"/>
      <c r="C21" s="11">
        <f>IF(E21="","",UPPER(LEFT(D21,3))&amp;"-"&amp;TEXT(18,"000"))</f>
        <v/>
      </c>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row>
    <row r="22" ht="22" customHeight="1">
      <c r="A22" s="4" t="n">
        <v>19</v>
      </c>
      <c r="B22" s="6" t="n"/>
      <c r="C22" s="7">
        <f>IF(E22="","",UPPER(LEFT(D22,3))&amp;"-"&amp;TEXT(19,"000"))</f>
        <v/>
      </c>
      <c r="D22" s="6" t="n"/>
      <c r="E22" s="6" t="n"/>
      <c r="F22" s="6" t="n"/>
      <c r="G22" s="6" t="n"/>
      <c r="H22" s="6" t="n"/>
      <c r="I22" s="6" t="n"/>
      <c r="J22" s="6" t="n"/>
      <c r="K22" s="6" t="n"/>
      <c r="L22" s="6" t="n"/>
      <c r="M22" s="6" t="n"/>
      <c r="N22" s="6" t="n"/>
      <c r="O22" s="6" t="n"/>
      <c r="P22" s="6" t="n"/>
      <c r="Q22" s="6" t="n"/>
      <c r="R22" s="6" t="n"/>
      <c r="S22" s="6" t="n"/>
      <c r="T22" s="6" t="n"/>
      <c r="U22" s="6" t="n"/>
      <c r="V22" s="6" t="n"/>
      <c r="W22" s="6" t="n"/>
      <c r="X22" s="6" t="n"/>
      <c r="Y22" s="6" t="n"/>
      <c r="Z22" s="6" t="n"/>
      <c r="AA22" s="6" t="n"/>
      <c r="AB22" s="6" t="n"/>
      <c r="AC22" s="6" t="n"/>
      <c r="AD22" s="6" t="n"/>
      <c r="AE22" s="6" t="n"/>
      <c r="AF22" s="6" t="n"/>
      <c r="AG22" s="6" t="n"/>
    </row>
    <row r="23" ht="22" customHeight="1">
      <c r="A23" s="8" t="n">
        <v>20</v>
      </c>
      <c r="B23" s="10" t="n"/>
      <c r="C23" s="11">
        <f>IF(E23="","",UPPER(LEFT(D23,3))&amp;"-"&amp;TEXT(20,"000"))</f>
        <v/>
      </c>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c r="AF23" s="10" t="n"/>
      <c r="AG23" s="10" t="n"/>
    </row>
    <row r="24" ht="22" customHeight="1">
      <c r="A24" s="4" t="n">
        <v>21</v>
      </c>
      <c r="B24" s="6" t="n"/>
      <c r="C24" s="7">
        <f>IF(E24="","",UPPER(LEFT(D24,3))&amp;"-"&amp;TEXT(21,"000"))</f>
        <v/>
      </c>
      <c r="D24" s="6" t="n"/>
      <c r="E24" s="6" t="n"/>
      <c r="F24" s="6" t="n"/>
      <c r="G24" s="6" t="n"/>
      <c r="H24" s="6" t="n"/>
      <c r="I24" s="6" t="n"/>
      <c r="J24" s="6" t="n"/>
      <c r="K24" s="6" t="n"/>
      <c r="L24" s="6" t="n"/>
      <c r="M24" s="6" t="n"/>
      <c r="N24" s="6" t="n"/>
      <c r="O24" s="6" t="n"/>
      <c r="P24" s="6" t="n"/>
      <c r="Q24" s="6" t="n"/>
      <c r="R24" s="6" t="n"/>
      <c r="S24" s="6" t="n"/>
      <c r="T24" s="6" t="n"/>
      <c r="U24" s="6" t="n"/>
      <c r="V24" s="6" t="n"/>
      <c r="W24" s="6" t="n"/>
      <c r="X24" s="6" t="n"/>
      <c r="Y24" s="6" t="n"/>
      <c r="Z24" s="6" t="n"/>
      <c r="AA24" s="6" t="n"/>
      <c r="AB24" s="6" t="n"/>
      <c r="AC24" s="6" t="n"/>
      <c r="AD24" s="6" t="n"/>
      <c r="AE24" s="6" t="n"/>
      <c r="AF24" s="6" t="n"/>
      <c r="AG24" s="6" t="n"/>
    </row>
    <row r="25" ht="22" customHeight="1">
      <c r="A25" s="8" t="n">
        <v>22</v>
      </c>
      <c r="B25" s="10" t="n"/>
      <c r="C25" s="11">
        <f>IF(E25="","",UPPER(LEFT(D25,3))&amp;"-"&amp;TEXT(22,"000"))</f>
        <v/>
      </c>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row>
    <row r="26" ht="22" customHeight="1">
      <c r="A26" s="4" t="n">
        <v>23</v>
      </c>
      <c r="B26" s="6" t="n"/>
      <c r="C26" s="7">
        <f>IF(E26="","",UPPER(LEFT(D26,3))&amp;"-"&amp;TEXT(23,"000"))</f>
        <v/>
      </c>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c r="Z26" s="6" t="n"/>
      <c r="AA26" s="6" t="n"/>
      <c r="AB26" s="6" t="n"/>
      <c r="AC26" s="6" t="n"/>
      <c r="AD26" s="6" t="n"/>
      <c r="AE26" s="6" t="n"/>
      <c r="AF26" s="6" t="n"/>
      <c r="AG26" s="6" t="n"/>
    </row>
    <row r="27" ht="22" customHeight="1">
      <c r="A27" s="8" t="n">
        <v>24</v>
      </c>
      <c r="B27" s="10" t="n"/>
      <c r="C27" s="11">
        <f>IF(E27="","",UPPER(LEFT(D27,3))&amp;"-"&amp;TEXT(24,"000"))</f>
        <v/>
      </c>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c r="AF27" s="10" t="n"/>
      <c r="AG27" s="10" t="n"/>
    </row>
    <row r="28" ht="22" customHeight="1">
      <c r="A28" s="4" t="n">
        <v>25</v>
      </c>
      <c r="B28" s="6" t="n"/>
      <c r="C28" s="7">
        <f>IF(E28="","",UPPER(LEFT(D28,3))&amp;"-"&amp;TEXT(25,"000"))</f>
        <v/>
      </c>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c r="AA28" s="6" t="n"/>
      <c r="AB28" s="6" t="n"/>
      <c r="AC28" s="6" t="n"/>
      <c r="AD28" s="6" t="n"/>
      <c r="AE28" s="6" t="n"/>
      <c r="AF28" s="6" t="n"/>
      <c r="AG28" s="6" t="n"/>
    </row>
    <row r="29" ht="22" customHeight="1">
      <c r="A29" s="8" t="n">
        <v>26</v>
      </c>
      <c r="B29" s="10" t="n"/>
      <c r="C29" s="11">
        <f>IF(E29="","",UPPER(LEFT(D29,3))&amp;"-"&amp;TEXT(26,"000"))</f>
        <v/>
      </c>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row>
    <row r="30" ht="22" customHeight="1">
      <c r="A30" s="4" t="n">
        <v>27</v>
      </c>
      <c r="B30" s="6" t="n"/>
      <c r="C30" s="7">
        <f>IF(E30="","",UPPER(LEFT(D30,3))&amp;"-"&amp;TEXT(27,"000"))</f>
        <v/>
      </c>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c r="AC30" s="6" t="n"/>
      <c r="AD30" s="6" t="n"/>
      <c r="AE30" s="6" t="n"/>
      <c r="AF30" s="6" t="n"/>
      <c r="AG30" s="6" t="n"/>
    </row>
    <row r="31" ht="22" customHeight="1">
      <c r="A31" s="8" t="n">
        <v>28</v>
      </c>
      <c r="B31" s="10" t="n"/>
      <c r="C31" s="11">
        <f>IF(E31="","",UPPER(LEFT(D31,3))&amp;"-"&amp;TEXT(28,"000"))</f>
        <v/>
      </c>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10" t="n"/>
      <c r="AC31" s="10" t="n"/>
      <c r="AD31" s="10" t="n"/>
      <c r="AE31" s="10" t="n"/>
      <c r="AF31" s="10" t="n"/>
      <c r="AG31" s="10" t="n"/>
    </row>
    <row r="32" ht="22" customHeight="1">
      <c r="A32" s="4" t="n">
        <v>29</v>
      </c>
      <c r="B32" s="6" t="n"/>
      <c r="C32" s="7">
        <f>IF(E32="","",UPPER(LEFT(D32,3))&amp;"-"&amp;TEXT(29,"000"))</f>
        <v/>
      </c>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c r="AA32" s="6" t="n"/>
      <c r="AB32" s="6" t="n"/>
      <c r="AC32" s="6" t="n"/>
      <c r="AD32" s="6" t="n"/>
      <c r="AE32" s="6" t="n"/>
      <c r="AF32" s="6" t="n"/>
      <c r="AG32" s="6" t="n"/>
    </row>
    <row r="33" ht="22" customHeight="1">
      <c r="A33" s="8" t="n">
        <v>30</v>
      </c>
      <c r="B33" s="10" t="n"/>
      <c r="C33" s="11">
        <f>IF(E33="","",UPPER(LEFT(D33,3))&amp;"-"&amp;TEXT(30,"000"))</f>
        <v/>
      </c>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c r="AD33" s="10" t="n"/>
      <c r="AE33" s="10" t="n"/>
      <c r="AF33" s="10" t="n"/>
      <c r="AG33" s="10" t="n"/>
    </row>
    <row r="34" ht="22" customHeight="1">
      <c r="A34" s="4" t="n">
        <v>31</v>
      </c>
      <c r="B34" s="6" t="n"/>
      <c r="C34" s="7">
        <f>IF(E34="","",UPPER(LEFT(D34,3))&amp;"-"&amp;TEXT(31,"000"))</f>
        <v/>
      </c>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c r="AA34" s="6" t="n"/>
      <c r="AB34" s="6" t="n"/>
      <c r="AC34" s="6" t="n"/>
      <c r="AD34" s="6" t="n"/>
      <c r="AE34" s="6" t="n"/>
      <c r="AF34" s="6" t="n"/>
      <c r="AG34" s="6" t="n"/>
    </row>
    <row r="35" ht="22" customHeight="1">
      <c r="A35" s="8" t="n">
        <v>32</v>
      </c>
      <c r="B35" s="10" t="n"/>
      <c r="C35" s="11">
        <f>IF(E35="","",UPPER(LEFT(D35,3))&amp;"-"&amp;TEXT(32,"000"))</f>
        <v/>
      </c>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row>
    <row r="36" ht="22" customHeight="1">
      <c r="A36" s="4" t="n">
        <v>33</v>
      </c>
      <c r="B36" s="6" t="n"/>
      <c r="C36" s="7">
        <f>IF(E36="","",UPPER(LEFT(D36,3))&amp;"-"&amp;TEXT(33,"000"))</f>
        <v/>
      </c>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c r="AA36" s="6" t="n"/>
      <c r="AB36" s="6" t="n"/>
      <c r="AC36" s="6" t="n"/>
      <c r="AD36" s="6" t="n"/>
      <c r="AE36" s="6" t="n"/>
      <c r="AF36" s="6" t="n"/>
      <c r="AG36" s="6" t="n"/>
    </row>
    <row r="37" ht="22" customHeight="1">
      <c r="A37" s="8" t="n">
        <v>34</v>
      </c>
      <c r="B37" s="10" t="n"/>
      <c r="C37" s="11">
        <f>IF(E37="","",UPPER(LEFT(D37,3))&amp;"-"&amp;TEXT(34,"000"))</f>
        <v/>
      </c>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c r="AE37" s="10" t="n"/>
      <c r="AF37" s="10" t="n"/>
      <c r="AG37" s="10" t="n"/>
    </row>
    <row r="38" ht="22" customHeight="1">
      <c r="A38" s="4" t="n">
        <v>35</v>
      </c>
      <c r="B38" s="6" t="n"/>
      <c r="C38" s="7">
        <f>IF(E38="","",UPPER(LEFT(D38,3))&amp;"-"&amp;TEXT(35,"000"))</f>
        <v/>
      </c>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c r="AA38" s="6" t="n"/>
      <c r="AB38" s="6" t="n"/>
      <c r="AC38" s="6" t="n"/>
      <c r="AD38" s="6" t="n"/>
      <c r="AE38" s="6" t="n"/>
      <c r="AF38" s="6" t="n"/>
      <c r="AG38" s="6" t="n"/>
    </row>
    <row r="39" ht="22" customHeight="1">
      <c r="A39" s="8" t="n">
        <v>36</v>
      </c>
      <c r="B39" s="10" t="n"/>
      <c r="C39" s="11">
        <f>IF(E39="","",UPPER(LEFT(D39,3))&amp;"-"&amp;TEXT(36,"000"))</f>
        <v/>
      </c>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c r="AD39" s="10" t="n"/>
      <c r="AE39" s="10" t="n"/>
      <c r="AF39" s="10" t="n"/>
      <c r="AG39" s="10" t="n"/>
    </row>
    <row r="40" ht="22" customHeight="1">
      <c r="A40" s="4" t="n">
        <v>37</v>
      </c>
      <c r="B40" s="6" t="n"/>
      <c r="C40" s="7">
        <f>IF(E40="","",UPPER(LEFT(D40,3))&amp;"-"&amp;TEXT(37,"000"))</f>
        <v/>
      </c>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c r="AA40" s="6" t="n"/>
      <c r="AB40" s="6" t="n"/>
      <c r="AC40" s="6" t="n"/>
      <c r="AD40" s="6" t="n"/>
      <c r="AE40" s="6" t="n"/>
      <c r="AF40" s="6" t="n"/>
      <c r="AG40" s="6" t="n"/>
    </row>
    <row r="41" ht="22" customHeight="1">
      <c r="A41" s="8" t="n">
        <v>38</v>
      </c>
      <c r="B41" s="10" t="n"/>
      <c r="C41" s="11">
        <f>IF(E41="","",UPPER(LEFT(D41,3))&amp;"-"&amp;TEXT(38,"000"))</f>
        <v/>
      </c>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c r="AD41" s="10" t="n"/>
      <c r="AE41" s="10" t="n"/>
      <c r="AF41" s="10" t="n"/>
      <c r="AG41" s="10" t="n"/>
    </row>
    <row r="42" ht="22" customHeight="1">
      <c r="A42" s="4" t="n">
        <v>39</v>
      </c>
      <c r="B42" s="6" t="n"/>
      <c r="C42" s="7">
        <f>IF(E42="","",UPPER(LEFT(D42,3))&amp;"-"&amp;TEXT(39,"000"))</f>
        <v/>
      </c>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c r="AA42" s="6" t="n"/>
      <c r="AB42" s="6" t="n"/>
      <c r="AC42" s="6" t="n"/>
      <c r="AD42" s="6" t="n"/>
      <c r="AE42" s="6" t="n"/>
      <c r="AF42" s="6" t="n"/>
      <c r="AG42" s="6" t="n"/>
    </row>
    <row r="43" ht="22" customHeight="1">
      <c r="A43" s="8" t="n">
        <v>40</v>
      </c>
      <c r="B43" s="10" t="n"/>
      <c r="C43" s="11">
        <f>IF(E43="","",UPPER(LEFT(D43,3))&amp;"-"&amp;TEXT(40,"000"))</f>
        <v/>
      </c>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row>
    <row r="44" ht="22" customHeight="1">
      <c r="A44" s="4" t="n">
        <v>41</v>
      </c>
      <c r="B44" s="6" t="n"/>
      <c r="C44" s="7">
        <f>IF(E44="","",UPPER(LEFT(D44,3))&amp;"-"&amp;TEXT(41,"000"))</f>
        <v/>
      </c>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c r="AA44" s="6" t="n"/>
      <c r="AB44" s="6" t="n"/>
      <c r="AC44" s="6" t="n"/>
      <c r="AD44" s="6" t="n"/>
      <c r="AE44" s="6" t="n"/>
      <c r="AF44" s="6" t="n"/>
      <c r="AG44" s="6" t="n"/>
    </row>
    <row r="45" ht="22" customHeight="1">
      <c r="A45" s="8" t="n">
        <v>42</v>
      </c>
      <c r="B45" s="10" t="n"/>
      <c r="C45" s="11">
        <f>IF(E45="","",UPPER(LEFT(D45,3))&amp;"-"&amp;TEXT(42,"000"))</f>
        <v/>
      </c>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row>
    <row r="46" ht="22" customHeight="1">
      <c r="A46" s="4" t="n">
        <v>43</v>
      </c>
      <c r="B46" s="6" t="n"/>
      <c r="C46" s="7">
        <f>IF(E46="","",UPPER(LEFT(D46,3))&amp;"-"&amp;TEXT(43,"000"))</f>
        <v/>
      </c>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c r="AA46" s="6" t="n"/>
      <c r="AB46" s="6" t="n"/>
      <c r="AC46" s="6" t="n"/>
      <c r="AD46" s="6" t="n"/>
      <c r="AE46" s="6" t="n"/>
      <c r="AF46" s="6" t="n"/>
      <c r="AG46" s="6" t="n"/>
    </row>
    <row r="47" ht="22" customHeight="1">
      <c r="A47" s="8" t="n">
        <v>44</v>
      </c>
      <c r="B47" s="10" t="n"/>
      <c r="C47" s="11">
        <f>IF(E47="","",UPPER(LEFT(D47,3))&amp;"-"&amp;TEXT(44,"000"))</f>
        <v/>
      </c>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row>
    <row r="48" ht="22" customHeight="1">
      <c r="A48" s="4" t="n">
        <v>45</v>
      </c>
      <c r="B48" s="6" t="n"/>
      <c r="C48" s="7">
        <f>IF(E48="","",UPPER(LEFT(D48,3))&amp;"-"&amp;TEXT(45,"000"))</f>
        <v/>
      </c>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c r="AA48" s="6" t="n"/>
      <c r="AB48" s="6" t="n"/>
      <c r="AC48" s="6" t="n"/>
      <c r="AD48" s="6" t="n"/>
      <c r="AE48" s="6" t="n"/>
      <c r="AF48" s="6" t="n"/>
      <c r="AG48" s="6" t="n"/>
    </row>
    <row r="49" ht="22" customHeight="1">
      <c r="A49" s="8" t="n">
        <v>46</v>
      </c>
      <c r="B49" s="10" t="n"/>
      <c r="C49" s="11">
        <f>IF(E49="","",UPPER(LEFT(D49,3))&amp;"-"&amp;TEXT(46,"000"))</f>
        <v/>
      </c>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row>
    <row r="50" ht="22" customHeight="1">
      <c r="A50" s="4" t="n">
        <v>47</v>
      </c>
      <c r="B50" s="6" t="n"/>
      <c r="C50" s="7">
        <f>IF(E50="","",UPPER(LEFT(D50,3))&amp;"-"&amp;TEXT(47,"000"))</f>
        <v/>
      </c>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c r="AA50" s="6" t="n"/>
      <c r="AB50" s="6" t="n"/>
      <c r="AC50" s="6" t="n"/>
      <c r="AD50" s="6" t="n"/>
      <c r="AE50" s="6" t="n"/>
      <c r="AF50" s="6" t="n"/>
      <c r="AG50" s="6" t="n"/>
    </row>
    <row r="51" ht="22" customHeight="1">
      <c r="A51" s="8" t="n">
        <v>48</v>
      </c>
      <c r="B51" s="10" t="n"/>
      <c r="C51" s="11">
        <f>IF(E51="","",UPPER(LEFT(D51,3))&amp;"-"&amp;TEXT(48,"000"))</f>
        <v/>
      </c>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c r="AD51" s="10" t="n"/>
      <c r="AE51" s="10" t="n"/>
      <c r="AF51" s="10" t="n"/>
      <c r="AG51" s="10" t="n"/>
    </row>
    <row r="52" ht="22" customHeight="1">
      <c r="A52" s="4" t="n">
        <v>49</v>
      </c>
      <c r="B52" s="6" t="n"/>
      <c r="C52" s="7">
        <f>IF(E52="","",UPPER(LEFT(D52,3))&amp;"-"&amp;TEXT(49,"000"))</f>
        <v/>
      </c>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c r="AA52" s="6" t="n"/>
      <c r="AB52" s="6" t="n"/>
      <c r="AC52" s="6" t="n"/>
      <c r="AD52" s="6" t="n"/>
      <c r="AE52" s="6" t="n"/>
      <c r="AF52" s="6" t="n"/>
      <c r="AG52" s="6" t="n"/>
    </row>
    <row r="53" ht="22" customHeight="1">
      <c r="A53" s="8" t="n">
        <v>50</v>
      </c>
      <c r="B53" s="10" t="n"/>
      <c r="C53" s="11">
        <f>IF(E53="","",UPPER(LEFT(D53,3))&amp;"-"&amp;TEXT(50,"000"))</f>
        <v/>
      </c>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c r="AF53" s="10" t="n"/>
      <c r="AG53" s="10" t="n"/>
    </row>
  </sheetData>
  <mergeCells count="2">
    <mergeCell ref="A2:AG2"/>
    <mergeCell ref="A1:AG1"/>
  </mergeCells>
  <conditionalFormatting sqref="AA4:AA53">
    <cfRule type="containsText" priority="1" operator="containsText" dxfId="0" text="Approved">
      <formula>NOT(ISERROR(SEARCH("Approved",AA4)))</formula>
    </cfRule>
    <cfRule type="containsText" priority="2" operator="containsText" dxfId="0" text="Published">
      <formula>NOT(ISERROR(SEARCH("Published",AA4)))</formula>
    </cfRule>
    <cfRule type="containsText" priority="3" operator="containsText" dxfId="0" text="Live">
      <formula>NOT(ISERROR(SEARCH("Live",AA4)))</formula>
    </cfRule>
    <cfRule type="containsText" priority="4" operator="containsText" dxfId="1" text="Cancelled">
      <formula>NOT(ISERROR(SEARCH("Cancelled",AA4)))</formula>
    </cfRule>
    <cfRule type="containsText" priority="5" operator="containsText" dxfId="1" text="Rejected">
      <formula>NOT(ISERROR(SEARCH("Rejected",AA4)))</formula>
    </cfRule>
    <cfRule type="containsText" priority="6" operator="containsText" dxfId="2" text="On Hold">
      <formula>NOT(ISERROR(SEARCH("On Hold",AA4)))</formula>
    </cfRule>
    <cfRule type="containsText" priority="7" operator="containsText" dxfId="2" text="Revision">
      <formula>NOT(ISERROR(SEARCH("Revision",AA4)))</formula>
    </cfRule>
    <cfRule type="containsText" priority="8" operator="containsText" dxfId="2" text="Changes">
      <formula>NOT(ISERROR(SEARCH("Changes",AA4)))</formula>
    </cfRule>
  </conditionalFormatting>
  <conditionalFormatting sqref="AB4:AB53">
    <cfRule type="containsText" priority="9" operator="containsText" dxfId="0" text="Approved">
      <formula>NOT(ISERROR(SEARCH("Approved",AB4)))</formula>
    </cfRule>
    <cfRule type="containsText" priority="10" operator="containsText" dxfId="1" text="Rejected">
      <formula>NOT(ISERROR(SEARCH("Rejected",AB4)))</formula>
    </cfRule>
    <cfRule type="containsText" priority="11" operator="containsText" dxfId="2" text="Changes">
      <formula>NOT(ISERROR(SEARCH("Changes",AB4)))</formula>
    </cfRule>
  </conditionalFormatting>
  <conditionalFormatting sqref="AC4:AC53">
    <cfRule type="containsText" priority="12" operator="containsText" dxfId="0" text="Approved">
      <formula>NOT(ISERROR(SEARCH("Approved",AC4)))</formula>
    </cfRule>
    <cfRule type="containsText" priority="13" operator="containsText" dxfId="1" text="Rejected">
      <formula>NOT(ISERROR(SEARCH("Rejected",AC4)))</formula>
    </cfRule>
    <cfRule type="containsText" priority="14" operator="containsText" dxfId="2" text="Changes">
      <formula>NOT(ISERROR(SEARCH("Changes",AC4)))</formula>
    </cfRule>
  </conditionalFormatting>
  <dataValidations count="12">
    <dataValidation sqref="D4:D53" showDropDown="0" showInputMessage="1" showErrorMessage="1" allowBlank="1" errorTitle="Invalid" error="Select from list." promptTitle="Vertical" prompt="Select vertical." type="list">
      <formula1>"Digital Transformation,Industrial Goods &amp; Consumer Products,Structural Engineering,MedTech,Energy &amp; Utilities,Sustainability,BFSI,Product Innovation,SolidPro AI,Other"</formula1>
    </dataValidation>
    <dataValidation sqref="Z4:Z53" showDropDown="0" showInputMessage="1" showErrorMessage="1" allowBlank="1" errorTitle="Invalid" error="Select from list." promptTitle="Priority" prompt="Urgency level." type="list">
      <formula1>"🔴 Critical,🟠 High,🟡 Medium,🟢 Low"</formula1>
    </dataValidation>
    <dataValidation sqref="AA4:AA53" showDropDown="0" showInputMessage="1" showErrorMessage="1" allowBlank="1" errorTitle="Invalid" error="Select from list." promptTitle="Status" prompt="Workflow status." type="list">
      <formula1>"📋 Briefed,✍ In Progress,🔁 In Revision,✅ Approved by Project Head,✅ Approved by Manager,🚀 Published / Live,⏸ On Hold,❌ Cancelled"</formula1>
    </dataValidation>
    <dataValidation sqref="AB4:AB53" showDropDown="0" showInputMessage="1" showErrorMessage="1" allowBlank="1" errorTitle="Invalid" error="Select from list." promptTitle="Project Head" prompt="Approval from Project Head." type="list">
      <formula1>"⏳ Pending,✅ Approved,🔁 Changes Requested,❌ Rejected"</formula1>
    </dataValidation>
    <dataValidation sqref="AC4:AC53" showDropDown="0" showInputMessage="1" showErrorMessage="1" allowBlank="1" errorTitle="Invalid" error="Select from list." promptTitle="Manager" prompt="Approval from Manager." type="list">
      <formula1>"⏳ Pending,✅ Approved,🔁 Changes Requested,❌ Rejected"</formula1>
    </dataValidation>
    <dataValidation sqref="AG4:AG53" showDropDown="0" showInputMessage="1" showErrorMessage="1" allowBlank="1" errorTitle="Invalid" error="Select from list." promptTitle="Archived" prompt="Mark Yes when done." type="list">
      <formula1>"No,Yes"</formula1>
    </dataValidation>
    <dataValidation sqref="W4:W53" showDropDown="0" showInputMessage="1" showErrorMessage="1" allowBlank="1" errorTitle="Invalid Date" error="Enter a valid date." promptTitle="Enter Date" prompt="Format: DD-MM-YYYY" type="date" operator="greaterThan">
      <formula1>DATE(2024,1,1)</formula1>
    </dataValidation>
    <dataValidation sqref="X4:X53" showDropDown="0" showInputMessage="1" showErrorMessage="1" allowBlank="1" errorTitle="Invalid Date" error="Enter a valid date." promptTitle="Enter Date" prompt="Format: DD-MM-YYYY" type="date" operator="greaterThan">
      <formula1>DATE(2024,1,1)</formula1>
    </dataValidation>
    <dataValidation sqref="Y4:Y53" showDropDown="0" showInputMessage="1" showErrorMessage="1" allowBlank="1" errorTitle="Invalid Date" error="Enter a valid date." promptTitle="Enter Date" prompt="Format: DD-MM-YYYY" type="date" operator="greaterThan">
      <formula1>DATE(2024,1,1)</formula1>
    </dataValidation>
    <dataValidation sqref="F4:F53" showDropDown="0" showInputMessage="1" showErrorMessage="1" allowBlank="1" errorTitle="Invalid" error="Select from list." promptTitle="SEO Task Type" prompt="Type of SEO work." type="list">
      <formula1>"Keyword Research,On-Page Optimisation,Technical SEO,Content Optimisation,Link Building,Competitor Analysis,Schema Markup,Site Audit,Other"</formula1>
    </dataValidation>
    <dataValidation sqref="R4:R53" showDropDown="0" showInputMessage="1" showErrorMessage="1" allowBlank="1" errorTitle="Invalid" error="Select from list." promptTitle="SEO Tool" prompt="Tool being used." type="list">
      <formula1>"Ahrefs,SEMrush,Google Search Console,Moz,Screaming Frog,Ubersuggest,Other"</formula1>
    </dataValidation>
    <dataValidation sqref="S4:S53" showDropDown="0" showInputMessage="1" showErrorMessage="1" allowBlank="1" errorTitle="Invalid" error="Select from list." promptTitle="Tracking" prompt="Analytics set up?" type="list">
      <formula1>"No,Yes – GA4,Yes – Search Console,Yes – Both"</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J53"/>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6" customWidth="1" min="2" max="2"/>
    <col width="14" customWidth="1" min="3" max="3"/>
    <col width="22" customWidth="1" min="4" max="4"/>
    <col width="32" customWidth="1" min="5" max="5"/>
    <col width="20" customWidth="1" min="6" max="6"/>
    <col width="32" customWidth="1" min="7" max="7"/>
    <col width="18" customWidth="1" min="8" max="8"/>
    <col width="36" customWidth="1" min="9" max="9"/>
    <col width="26" customWidth="1" min="10" max="10"/>
    <col width="24" customWidth="1" min="11" max="11"/>
    <col width="30" customWidth="1" min="12" max="12"/>
    <col width="20" customWidth="1" min="13" max="13"/>
    <col width="15" customWidth="1" min="14" max="14"/>
    <col width="14" customWidth="1" min="15" max="15"/>
    <col width="15" customWidth="1" min="16" max="16"/>
    <col width="18" customWidth="1" min="17" max="17"/>
    <col width="16" customWidth="1" min="18" max="18"/>
    <col width="28" customWidth="1" min="19" max="19"/>
    <col width="20" customWidth="1" min="20" max="20"/>
    <col width="22" customWidth="1" min="21" max="21"/>
    <col width="28" customWidth="1" min="22" max="22"/>
    <col width="22" customWidth="1" min="23" max="23"/>
    <col width="20" customWidth="1" min="24" max="24"/>
    <col width="20" customWidth="1" min="25" max="25"/>
    <col width="14" customWidth="1" min="26" max="26"/>
    <col width="14" customWidth="1" min="27" max="27"/>
    <col width="14" customWidth="1" min="28" max="28"/>
    <col width="13" customWidth="1" min="29" max="29"/>
    <col width="26" customWidth="1" min="30" max="30"/>
    <col width="26" customWidth="1" min="31" max="31"/>
    <col width="22" customWidth="1" min="32" max="32"/>
    <col width="30" customWidth="1" min="33" max="33"/>
    <col width="12" customWidth="1" min="34" max="34"/>
    <col width="36" customWidth="1" min="35" max="35"/>
    <col width="12" customWidth="1" min="36" max="36"/>
  </cols>
  <sheetData>
    <row r="1" ht="34" customHeight="1">
      <c r="A1" s="26" t="inlineStr">
        <is>
          <t>SolidPro — Webinars &amp; Events Tracker</t>
        </is>
      </c>
    </row>
    <row r="2" ht="16" customHeight="1">
      <c r="A2" s="2" t="inlineStr">
        <is>
          <t>Link each row to a Campaign ID from the Campaign Master sheet  |  * = Mandatory</t>
        </is>
      </c>
    </row>
    <row r="3" ht="30" customHeight="1">
      <c r="A3" s="27" t="inlineStr">
        <is>
          <t>S.No</t>
        </is>
      </c>
      <c r="B3" s="27" t="inlineStr">
        <is>
          <t>Campaign ID *</t>
        </is>
      </c>
      <c r="C3" s="27" t="inlineStr">
        <is>
          <t>Asset ID</t>
        </is>
      </c>
      <c r="D3" s="27" t="inlineStr">
        <is>
          <t>Vertical *</t>
        </is>
      </c>
      <c r="E3" s="27" t="inlineStr">
        <is>
          <t>Asset Name / Title *</t>
        </is>
      </c>
      <c r="F3" s="27" t="inlineStr">
        <is>
          <t>Event Type</t>
        </is>
      </c>
      <c r="G3" s="27" t="inlineStr">
        <is>
          <t>Event Title</t>
        </is>
      </c>
      <c r="H3" s="27" t="inlineStr">
        <is>
          <t>Event Format</t>
        </is>
      </c>
      <c r="I3" s="27" t="inlineStr">
        <is>
          <t>Topic / Agenda</t>
        </is>
      </c>
      <c r="J3" s="27" t="inlineStr">
        <is>
          <t>Speaker(s)</t>
        </is>
      </c>
      <c r="K3" s="27" t="inlineStr">
        <is>
          <t>Target Audience</t>
        </is>
      </c>
      <c r="L3" s="27" t="inlineStr">
        <is>
          <t>Registration Link</t>
        </is>
      </c>
      <c r="M3" s="27" t="inlineStr">
        <is>
          <t>Platform / Tool</t>
        </is>
      </c>
      <c r="N3" s="27" t="inlineStr">
        <is>
          <t>Event Date *</t>
        </is>
      </c>
      <c r="O3" s="27" t="inlineStr">
        <is>
          <t>Event Time</t>
        </is>
      </c>
      <c r="P3" s="27" t="inlineStr">
        <is>
          <t>Duration (mins)</t>
        </is>
      </c>
      <c r="Q3" s="27" t="inlineStr">
        <is>
          <t>Expected Attendees</t>
        </is>
      </c>
      <c r="R3" s="27" t="inlineStr">
        <is>
          <t>Actual Attendees</t>
        </is>
      </c>
      <c r="S3" s="27" t="inlineStr">
        <is>
          <t>Recording Link</t>
        </is>
      </c>
      <c r="T3" s="27" t="inlineStr">
        <is>
          <t>Follow-Up Email Sent?</t>
        </is>
      </c>
      <c r="U3" s="27" t="inlineStr">
        <is>
          <t>Lead Magnet Used</t>
        </is>
      </c>
      <c r="V3" s="27" t="inlineStr">
        <is>
          <t>Promotion Assets</t>
        </is>
      </c>
      <c r="W3" s="27" t="inlineStr">
        <is>
          <t>Owner *</t>
        </is>
      </c>
      <c r="X3" s="27" t="inlineStr">
        <is>
          <t>Support</t>
        </is>
      </c>
      <c r="Y3" s="27" t="inlineStr">
        <is>
          <t>Requested By</t>
        </is>
      </c>
      <c r="Z3" s="27" t="inlineStr">
        <is>
          <t>Brief Date</t>
        </is>
      </c>
      <c r="AA3" s="27" t="inlineStr">
        <is>
          <t>Due Date *</t>
        </is>
      </c>
      <c r="AB3" s="27" t="inlineStr">
        <is>
          <t>Pub / Post Date *</t>
        </is>
      </c>
      <c r="AC3" s="27" t="inlineStr">
        <is>
          <t>Priority</t>
        </is>
      </c>
      <c r="AD3" s="27" t="inlineStr">
        <is>
          <t>Status</t>
        </is>
      </c>
      <c r="AE3" s="27" t="inlineStr">
        <is>
          <t>Approved by Project Head</t>
        </is>
      </c>
      <c r="AF3" s="27" t="inlineStr">
        <is>
          <t>Approved by Manager</t>
        </is>
      </c>
      <c r="AG3" s="27" t="inlineStr">
        <is>
          <t>Final File / URL Link</t>
        </is>
      </c>
      <c r="AH3" s="27" t="inlineStr">
        <is>
          <t>Revision #</t>
        </is>
      </c>
      <c r="AI3" s="27" t="inlineStr">
        <is>
          <t>Feedback / Notes</t>
        </is>
      </c>
      <c r="AJ3" s="27" t="inlineStr">
        <is>
          <t>Archived?</t>
        </is>
      </c>
    </row>
    <row r="4" ht="22" customHeight="1">
      <c r="A4" s="4" t="n">
        <v>1</v>
      </c>
      <c r="B4" s="6" t="n"/>
      <c r="C4" s="7">
        <f>IF(E4="","",UPPER(LEFT(D4,3))&amp;"-"&amp;TEXT(1,"000"))</f>
        <v/>
      </c>
      <c r="D4" s="6" t="n"/>
      <c r="E4" s="6" t="n"/>
      <c r="F4" s="6" t="n"/>
      <c r="G4" s="6" t="n"/>
      <c r="H4" s="6" t="n"/>
      <c r="I4" s="6" t="n"/>
      <c r="J4" s="6" t="n"/>
      <c r="K4" s="6" t="n"/>
      <c r="L4" s="6" t="n"/>
      <c r="M4" s="6" t="n"/>
      <c r="N4" s="6" t="n"/>
      <c r="O4" s="6" t="n"/>
      <c r="P4" s="6" t="n"/>
      <c r="Q4" s="6" t="n"/>
      <c r="R4" s="6" t="n"/>
      <c r="S4" s="6" t="n"/>
      <c r="T4" s="6" t="n"/>
      <c r="U4" s="6" t="n"/>
      <c r="V4" s="6" t="n"/>
      <c r="W4" s="6" t="n"/>
      <c r="X4" s="6" t="n"/>
      <c r="Y4" s="6" t="n"/>
      <c r="Z4" s="6" t="n"/>
      <c r="AA4" s="6" t="n"/>
      <c r="AB4" s="6" t="n"/>
      <c r="AC4" s="6" t="n"/>
      <c r="AD4" s="6" t="n"/>
      <c r="AE4" s="6" t="n"/>
      <c r="AF4" s="6" t="n"/>
      <c r="AG4" s="6" t="n"/>
      <c r="AH4" s="6" t="n"/>
      <c r="AI4" s="6" t="n"/>
      <c r="AJ4" s="6" t="n"/>
    </row>
    <row r="5" ht="22" customHeight="1">
      <c r="A5" s="8" t="n">
        <v>2</v>
      </c>
      <c r="B5" s="10" t="n"/>
      <c r="C5" s="11">
        <f>IF(E5="","",UPPER(LEFT(D5,3))&amp;"-"&amp;TEXT(2,"000"))</f>
        <v/>
      </c>
      <c r="D5" s="10" t="n"/>
      <c r="E5" s="10" t="n"/>
      <c r="F5" s="10" t="n"/>
      <c r="G5" s="10" t="n"/>
      <c r="H5" s="10" t="n"/>
      <c r="I5" s="10" t="n"/>
      <c r="J5" s="10" t="n"/>
      <c r="K5" s="10" t="n"/>
      <c r="L5" s="10" t="n"/>
      <c r="M5" s="10" t="n"/>
      <c r="N5" s="10" t="n"/>
      <c r="O5" s="10" t="n"/>
      <c r="P5" s="10" t="n"/>
      <c r="Q5" s="10" t="n"/>
      <c r="R5" s="10" t="n"/>
      <c r="S5" s="10" t="n"/>
      <c r="T5" s="10" t="n"/>
      <c r="U5" s="10" t="n"/>
      <c r="V5" s="10" t="n"/>
      <c r="W5" s="10" t="n"/>
      <c r="X5" s="10" t="n"/>
      <c r="Y5" s="10" t="n"/>
      <c r="Z5" s="10" t="n"/>
      <c r="AA5" s="10" t="n"/>
      <c r="AB5" s="10" t="n"/>
      <c r="AC5" s="10" t="n"/>
      <c r="AD5" s="10" t="n"/>
      <c r="AE5" s="10" t="n"/>
      <c r="AF5" s="10" t="n"/>
      <c r="AG5" s="10" t="n"/>
      <c r="AH5" s="10" t="n"/>
      <c r="AI5" s="10" t="n"/>
      <c r="AJ5" s="10" t="n"/>
    </row>
    <row r="6" ht="22" customHeight="1">
      <c r="A6" s="4" t="n">
        <v>3</v>
      </c>
      <c r="B6" s="6" t="n"/>
      <c r="C6" s="7">
        <f>IF(E6="","",UPPER(LEFT(D6,3))&amp;"-"&amp;TEXT(3,"000"))</f>
        <v/>
      </c>
      <c r="D6" s="6" t="n"/>
      <c r="E6" s="6" t="n"/>
      <c r="F6" s="6" t="n"/>
      <c r="G6" s="6" t="n"/>
      <c r="H6" s="6" t="n"/>
      <c r="I6" s="6" t="n"/>
      <c r="J6" s="6" t="n"/>
      <c r="K6" s="6" t="n"/>
      <c r="L6" s="6" t="n"/>
      <c r="M6" s="6" t="n"/>
      <c r="N6" s="6" t="n"/>
      <c r="O6" s="6" t="n"/>
      <c r="P6" s="6" t="n"/>
      <c r="Q6" s="6" t="n"/>
      <c r="R6" s="6" t="n"/>
      <c r="S6" s="6" t="n"/>
      <c r="T6" s="6" t="n"/>
      <c r="U6" s="6" t="n"/>
      <c r="V6" s="6" t="n"/>
      <c r="W6" s="6" t="n"/>
      <c r="X6" s="6" t="n"/>
      <c r="Y6" s="6" t="n"/>
      <c r="Z6" s="6" t="n"/>
      <c r="AA6" s="6" t="n"/>
      <c r="AB6" s="6" t="n"/>
      <c r="AC6" s="6" t="n"/>
      <c r="AD6" s="6" t="n"/>
      <c r="AE6" s="6" t="n"/>
      <c r="AF6" s="6" t="n"/>
      <c r="AG6" s="6" t="n"/>
      <c r="AH6" s="6" t="n"/>
      <c r="AI6" s="6" t="n"/>
      <c r="AJ6" s="6" t="n"/>
    </row>
    <row r="7" ht="22" customHeight="1">
      <c r="A7" s="8" t="n">
        <v>4</v>
      </c>
      <c r="B7" s="10" t="n"/>
      <c r="C7" s="11">
        <f>IF(E7="","",UPPER(LEFT(D7,3))&amp;"-"&amp;TEXT(4,"000"))</f>
        <v/>
      </c>
      <c r="D7" s="10" t="n"/>
      <c r="E7" s="10"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row>
    <row r="8" ht="22" customHeight="1">
      <c r="A8" s="4" t="n">
        <v>5</v>
      </c>
      <c r="B8" s="6" t="n"/>
      <c r="C8" s="7">
        <f>IF(E8="","",UPPER(LEFT(D8,3))&amp;"-"&amp;TEXT(5,"000"))</f>
        <v/>
      </c>
      <c r="D8" s="6" t="n"/>
      <c r="E8" s="6" t="n"/>
      <c r="F8" s="6" t="n"/>
      <c r="G8" s="6"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c r="AI8" s="6" t="n"/>
      <c r="AJ8" s="6" t="n"/>
    </row>
    <row r="9" ht="22" customHeight="1">
      <c r="A9" s="8" t="n">
        <v>6</v>
      </c>
      <c r="B9" s="10" t="n"/>
      <c r="C9" s="11">
        <f>IF(E9="","",UPPER(LEFT(D9,3))&amp;"-"&amp;TEXT(6,"000"))</f>
        <v/>
      </c>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row>
    <row r="10" ht="22" customHeight="1">
      <c r="A10" s="4" t="n">
        <v>7</v>
      </c>
      <c r="B10" s="6" t="n"/>
      <c r="C10" s="7">
        <f>IF(E10="","",UPPER(LEFT(D10,3))&amp;"-"&amp;TEXT(7,"000"))</f>
        <v/>
      </c>
      <c r="D10" s="6" t="n"/>
      <c r="E10" s="6" t="n"/>
      <c r="F10" s="6"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row>
    <row r="11" ht="22" customHeight="1">
      <c r="A11" s="8" t="n">
        <v>8</v>
      </c>
      <c r="B11" s="10" t="n"/>
      <c r="C11" s="11">
        <f>IF(E11="","",UPPER(LEFT(D11,3))&amp;"-"&amp;TEXT(8,"000"))</f>
        <v/>
      </c>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row>
    <row r="12" ht="22" customHeight="1">
      <c r="A12" s="4" t="n">
        <v>9</v>
      </c>
      <c r="B12" s="6" t="n"/>
      <c r="C12" s="7">
        <f>IF(E12="","",UPPER(LEFT(D12,3))&amp;"-"&amp;TEXT(9,"000"))</f>
        <v/>
      </c>
      <c r="D12" s="6" t="n"/>
      <c r="E12" s="6" t="n"/>
      <c r="F12" s="6"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row>
    <row r="13" ht="22" customHeight="1">
      <c r="A13" s="8" t="n">
        <v>10</v>
      </c>
      <c r="B13" s="10" t="n"/>
      <c r="C13" s="11">
        <f>IF(E13="","",UPPER(LEFT(D13,3))&amp;"-"&amp;TEXT(10,"000"))</f>
        <v/>
      </c>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row>
    <row r="14" ht="22" customHeight="1">
      <c r="A14" s="4" t="n">
        <v>11</v>
      </c>
      <c r="B14" s="6" t="n"/>
      <c r="C14" s="7">
        <f>IF(E14="","",UPPER(LEFT(D14,3))&amp;"-"&amp;TEXT(11,"000"))</f>
        <v/>
      </c>
      <c r="D14" s="6" t="n"/>
      <c r="E14" s="6" t="n"/>
      <c r="F14" s="6"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row>
    <row r="15" ht="22" customHeight="1">
      <c r="A15" s="8" t="n">
        <v>12</v>
      </c>
      <c r="B15" s="10" t="n"/>
      <c r="C15" s="11">
        <f>IF(E15="","",UPPER(LEFT(D15,3))&amp;"-"&amp;TEXT(12,"000"))</f>
        <v/>
      </c>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row>
    <row r="16" ht="22" customHeight="1">
      <c r="A16" s="4" t="n">
        <v>13</v>
      </c>
      <c r="B16" s="6" t="n"/>
      <c r="C16" s="7">
        <f>IF(E16="","",UPPER(LEFT(D16,3))&amp;"-"&amp;TEXT(13,"000"))</f>
        <v/>
      </c>
      <c r="D16" s="6" t="n"/>
      <c r="E16" s="6" t="n"/>
      <c r="F16" s="6" t="n"/>
      <c r="G16" s="6" t="n"/>
      <c r="H16" s="6" t="n"/>
      <c r="I16" s="6" t="n"/>
      <c r="J16" s="6" t="n"/>
      <c r="K16" s="6" t="n"/>
      <c r="L16" s="6" t="n"/>
      <c r="M16" s="6" t="n"/>
      <c r="N16" s="6" t="n"/>
      <c r="O16" s="6" t="n"/>
      <c r="P16" s="6" t="n"/>
      <c r="Q16" s="6" t="n"/>
      <c r="R16" s="6" t="n"/>
      <c r="S16" s="6" t="n"/>
      <c r="T16" s="6" t="n"/>
      <c r="U16" s="6" t="n"/>
      <c r="V16" s="6" t="n"/>
      <c r="W16" s="6" t="n"/>
      <c r="X16" s="6" t="n"/>
      <c r="Y16" s="6" t="n"/>
      <c r="Z16" s="6" t="n"/>
      <c r="AA16" s="6" t="n"/>
      <c r="AB16" s="6" t="n"/>
      <c r="AC16" s="6" t="n"/>
      <c r="AD16" s="6" t="n"/>
      <c r="AE16" s="6" t="n"/>
      <c r="AF16" s="6" t="n"/>
      <c r="AG16" s="6" t="n"/>
      <c r="AH16" s="6" t="n"/>
      <c r="AI16" s="6" t="n"/>
      <c r="AJ16" s="6" t="n"/>
    </row>
    <row r="17" ht="22" customHeight="1">
      <c r="A17" s="8" t="n">
        <v>14</v>
      </c>
      <c r="B17" s="10" t="n"/>
      <c r="C17" s="11">
        <f>IF(E17="","",UPPER(LEFT(D17,3))&amp;"-"&amp;TEXT(14,"000"))</f>
        <v/>
      </c>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row>
    <row r="18" ht="22" customHeight="1">
      <c r="A18" s="4" t="n">
        <v>15</v>
      </c>
      <c r="B18" s="6" t="n"/>
      <c r="C18" s="7">
        <f>IF(E18="","",UPPER(LEFT(D18,3))&amp;"-"&amp;TEXT(15,"000"))</f>
        <v/>
      </c>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c r="Z18" s="6" t="n"/>
      <c r="AA18" s="6" t="n"/>
      <c r="AB18" s="6" t="n"/>
      <c r="AC18" s="6" t="n"/>
      <c r="AD18" s="6" t="n"/>
      <c r="AE18" s="6" t="n"/>
      <c r="AF18" s="6" t="n"/>
      <c r="AG18" s="6" t="n"/>
      <c r="AH18" s="6" t="n"/>
      <c r="AI18" s="6" t="n"/>
      <c r="AJ18" s="6" t="n"/>
    </row>
    <row r="19" ht="22" customHeight="1">
      <c r="A19" s="8" t="n">
        <v>16</v>
      </c>
      <c r="B19" s="10" t="n"/>
      <c r="C19" s="11">
        <f>IF(E19="","",UPPER(LEFT(D19,3))&amp;"-"&amp;TEXT(16,"000"))</f>
        <v/>
      </c>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row>
    <row r="20" ht="22" customHeight="1">
      <c r="A20" s="4" t="n">
        <v>17</v>
      </c>
      <c r="B20" s="6" t="n"/>
      <c r="C20" s="7">
        <f>IF(E20="","",UPPER(LEFT(D20,3))&amp;"-"&amp;TEXT(17,"000"))</f>
        <v/>
      </c>
      <c r="D20" s="6" t="n"/>
      <c r="E20" s="6" t="n"/>
      <c r="F20" s="6" t="n"/>
      <c r="G20" s="6" t="n"/>
      <c r="H20" s="6" t="n"/>
      <c r="I20" s="6" t="n"/>
      <c r="J20" s="6" t="n"/>
      <c r="K20" s="6" t="n"/>
      <c r="L20" s="6" t="n"/>
      <c r="M20" s="6" t="n"/>
      <c r="N20" s="6" t="n"/>
      <c r="O20" s="6" t="n"/>
      <c r="P20" s="6" t="n"/>
      <c r="Q20" s="6" t="n"/>
      <c r="R20" s="6" t="n"/>
      <c r="S20" s="6" t="n"/>
      <c r="T20" s="6" t="n"/>
      <c r="U20" s="6" t="n"/>
      <c r="V20" s="6" t="n"/>
      <c r="W20" s="6" t="n"/>
      <c r="X20" s="6" t="n"/>
      <c r="Y20" s="6" t="n"/>
      <c r="Z20" s="6" t="n"/>
      <c r="AA20" s="6" t="n"/>
      <c r="AB20" s="6" t="n"/>
      <c r="AC20" s="6" t="n"/>
      <c r="AD20" s="6" t="n"/>
      <c r="AE20" s="6" t="n"/>
      <c r="AF20" s="6" t="n"/>
      <c r="AG20" s="6" t="n"/>
      <c r="AH20" s="6" t="n"/>
      <c r="AI20" s="6" t="n"/>
      <c r="AJ20" s="6" t="n"/>
    </row>
    <row r="21" ht="22" customHeight="1">
      <c r="A21" s="8" t="n">
        <v>18</v>
      </c>
      <c r="B21" s="10" t="n"/>
      <c r="C21" s="11">
        <f>IF(E21="","",UPPER(LEFT(D21,3))&amp;"-"&amp;TEXT(18,"000"))</f>
        <v/>
      </c>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row>
    <row r="22" ht="22" customHeight="1">
      <c r="A22" s="4" t="n">
        <v>19</v>
      </c>
      <c r="B22" s="6" t="n"/>
      <c r="C22" s="7">
        <f>IF(E22="","",UPPER(LEFT(D22,3))&amp;"-"&amp;TEXT(19,"000"))</f>
        <v/>
      </c>
      <c r="D22" s="6" t="n"/>
      <c r="E22" s="6" t="n"/>
      <c r="F22" s="6" t="n"/>
      <c r="G22" s="6" t="n"/>
      <c r="H22" s="6" t="n"/>
      <c r="I22" s="6" t="n"/>
      <c r="J22" s="6" t="n"/>
      <c r="K22" s="6" t="n"/>
      <c r="L22" s="6" t="n"/>
      <c r="M22" s="6" t="n"/>
      <c r="N22" s="6" t="n"/>
      <c r="O22" s="6" t="n"/>
      <c r="P22" s="6" t="n"/>
      <c r="Q22" s="6" t="n"/>
      <c r="R22" s="6" t="n"/>
      <c r="S22" s="6" t="n"/>
      <c r="T22" s="6" t="n"/>
      <c r="U22" s="6" t="n"/>
      <c r="V22" s="6" t="n"/>
      <c r="W22" s="6" t="n"/>
      <c r="X22" s="6" t="n"/>
      <c r="Y22" s="6" t="n"/>
      <c r="Z22" s="6" t="n"/>
      <c r="AA22" s="6" t="n"/>
      <c r="AB22" s="6" t="n"/>
      <c r="AC22" s="6" t="n"/>
      <c r="AD22" s="6" t="n"/>
      <c r="AE22" s="6" t="n"/>
      <c r="AF22" s="6" t="n"/>
      <c r="AG22" s="6" t="n"/>
      <c r="AH22" s="6" t="n"/>
      <c r="AI22" s="6" t="n"/>
      <c r="AJ22" s="6" t="n"/>
    </row>
    <row r="23" ht="22" customHeight="1">
      <c r="A23" s="8" t="n">
        <v>20</v>
      </c>
      <c r="B23" s="10" t="n"/>
      <c r="C23" s="11">
        <f>IF(E23="","",UPPER(LEFT(D23,3))&amp;"-"&amp;TEXT(20,"000"))</f>
        <v/>
      </c>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c r="AF23" s="10" t="n"/>
      <c r="AG23" s="10" t="n"/>
      <c r="AH23" s="10" t="n"/>
      <c r="AI23" s="10" t="n"/>
      <c r="AJ23" s="10" t="n"/>
    </row>
    <row r="24" ht="22" customHeight="1">
      <c r="A24" s="4" t="n">
        <v>21</v>
      </c>
      <c r="B24" s="6" t="n"/>
      <c r="C24" s="7">
        <f>IF(E24="","",UPPER(LEFT(D24,3))&amp;"-"&amp;TEXT(21,"000"))</f>
        <v/>
      </c>
      <c r="D24" s="6" t="n"/>
      <c r="E24" s="6" t="n"/>
      <c r="F24" s="6" t="n"/>
      <c r="G24" s="6" t="n"/>
      <c r="H24" s="6" t="n"/>
      <c r="I24" s="6" t="n"/>
      <c r="J24" s="6" t="n"/>
      <c r="K24" s="6" t="n"/>
      <c r="L24" s="6" t="n"/>
      <c r="M24" s="6" t="n"/>
      <c r="N24" s="6" t="n"/>
      <c r="O24" s="6" t="n"/>
      <c r="P24" s="6" t="n"/>
      <c r="Q24" s="6" t="n"/>
      <c r="R24" s="6" t="n"/>
      <c r="S24" s="6" t="n"/>
      <c r="T24" s="6" t="n"/>
      <c r="U24" s="6" t="n"/>
      <c r="V24" s="6" t="n"/>
      <c r="W24" s="6" t="n"/>
      <c r="X24" s="6" t="n"/>
      <c r="Y24" s="6" t="n"/>
      <c r="Z24" s="6" t="n"/>
      <c r="AA24" s="6" t="n"/>
      <c r="AB24" s="6" t="n"/>
      <c r="AC24" s="6" t="n"/>
      <c r="AD24" s="6" t="n"/>
      <c r="AE24" s="6" t="n"/>
      <c r="AF24" s="6" t="n"/>
      <c r="AG24" s="6" t="n"/>
      <c r="AH24" s="6" t="n"/>
      <c r="AI24" s="6" t="n"/>
      <c r="AJ24" s="6" t="n"/>
    </row>
    <row r="25" ht="22" customHeight="1">
      <c r="A25" s="8" t="n">
        <v>22</v>
      </c>
      <c r="B25" s="10" t="n"/>
      <c r="C25" s="11">
        <f>IF(E25="","",UPPER(LEFT(D25,3))&amp;"-"&amp;TEXT(22,"000"))</f>
        <v/>
      </c>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c r="AI25" s="10" t="n"/>
      <c r="AJ25" s="10" t="n"/>
    </row>
    <row r="26" ht="22" customHeight="1">
      <c r="A26" s="4" t="n">
        <v>23</v>
      </c>
      <c r="B26" s="6" t="n"/>
      <c r="C26" s="7">
        <f>IF(E26="","",UPPER(LEFT(D26,3))&amp;"-"&amp;TEXT(23,"000"))</f>
        <v/>
      </c>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c r="Z26" s="6" t="n"/>
      <c r="AA26" s="6" t="n"/>
      <c r="AB26" s="6" t="n"/>
      <c r="AC26" s="6" t="n"/>
      <c r="AD26" s="6" t="n"/>
      <c r="AE26" s="6" t="n"/>
      <c r="AF26" s="6" t="n"/>
      <c r="AG26" s="6" t="n"/>
      <c r="AH26" s="6" t="n"/>
      <c r="AI26" s="6" t="n"/>
      <c r="AJ26" s="6" t="n"/>
    </row>
    <row r="27" ht="22" customHeight="1">
      <c r="A27" s="8" t="n">
        <v>24</v>
      </c>
      <c r="B27" s="10" t="n"/>
      <c r="C27" s="11">
        <f>IF(E27="","",UPPER(LEFT(D27,3))&amp;"-"&amp;TEXT(24,"000"))</f>
        <v/>
      </c>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c r="AF27" s="10" t="n"/>
      <c r="AG27" s="10" t="n"/>
      <c r="AH27" s="10" t="n"/>
      <c r="AI27" s="10" t="n"/>
      <c r="AJ27" s="10" t="n"/>
    </row>
    <row r="28" ht="22" customHeight="1">
      <c r="A28" s="4" t="n">
        <v>25</v>
      </c>
      <c r="B28" s="6" t="n"/>
      <c r="C28" s="7">
        <f>IF(E28="","",UPPER(LEFT(D28,3))&amp;"-"&amp;TEXT(25,"000"))</f>
        <v/>
      </c>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c r="AA28" s="6" t="n"/>
      <c r="AB28" s="6" t="n"/>
      <c r="AC28" s="6" t="n"/>
      <c r="AD28" s="6" t="n"/>
      <c r="AE28" s="6" t="n"/>
      <c r="AF28" s="6" t="n"/>
      <c r="AG28" s="6" t="n"/>
      <c r="AH28" s="6" t="n"/>
      <c r="AI28" s="6" t="n"/>
      <c r="AJ28" s="6" t="n"/>
    </row>
    <row r="29" ht="22" customHeight="1">
      <c r="A29" s="8" t="n">
        <v>26</v>
      </c>
      <c r="B29" s="10" t="n"/>
      <c r="C29" s="11">
        <f>IF(E29="","",UPPER(LEFT(D29,3))&amp;"-"&amp;TEXT(26,"000"))</f>
        <v/>
      </c>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row>
    <row r="30" ht="22" customHeight="1">
      <c r="A30" s="4" t="n">
        <v>27</v>
      </c>
      <c r="B30" s="6" t="n"/>
      <c r="C30" s="7">
        <f>IF(E30="","",UPPER(LEFT(D30,3))&amp;"-"&amp;TEXT(27,"000"))</f>
        <v/>
      </c>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c r="AC30" s="6" t="n"/>
      <c r="AD30" s="6" t="n"/>
      <c r="AE30" s="6" t="n"/>
      <c r="AF30" s="6" t="n"/>
      <c r="AG30" s="6" t="n"/>
      <c r="AH30" s="6" t="n"/>
      <c r="AI30" s="6" t="n"/>
      <c r="AJ30" s="6" t="n"/>
    </row>
    <row r="31" ht="22" customHeight="1">
      <c r="A31" s="8" t="n">
        <v>28</v>
      </c>
      <c r="B31" s="10" t="n"/>
      <c r="C31" s="11">
        <f>IF(E31="","",UPPER(LEFT(D31,3))&amp;"-"&amp;TEXT(28,"000"))</f>
        <v/>
      </c>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10" t="n"/>
      <c r="AC31" s="10" t="n"/>
      <c r="AD31" s="10" t="n"/>
      <c r="AE31" s="10" t="n"/>
      <c r="AF31" s="10" t="n"/>
      <c r="AG31" s="10" t="n"/>
      <c r="AH31" s="10" t="n"/>
      <c r="AI31" s="10" t="n"/>
      <c r="AJ31" s="10" t="n"/>
    </row>
    <row r="32" ht="22" customHeight="1">
      <c r="A32" s="4" t="n">
        <v>29</v>
      </c>
      <c r="B32" s="6" t="n"/>
      <c r="C32" s="7">
        <f>IF(E32="","",UPPER(LEFT(D32,3))&amp;"-"&amp;TEXT(29,"000"))</f>
        <v/>
      </c>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c r="AA32" s="6" t="n"/>
      <c r="AB32" s="6" t="n"/>
      <c r="AC32" s="6" t="n"/>
      <c r="AD32" s="6" t="n"/>
      <c r="AE32" s="6" t="n"/>
      <c r="AF32" s="6" t="n"/>
      <c r="AG32" s="6" t="n"/>
      <c r="AH32" s="6" t="n"/>
      <c r="AI32" s="6" t="n"/>
      <c r="AJ32" s="6" t="n"/>
    </row>
    <row r="33" ht="22" customHeight="1">
      <c r="A33" s="8" t="n">
        <v>30</v>
      </c>
      <c r="B33" s="10" t="n"/>
      <c r="C33" s="11">
        <f>IF(E33="","",UPPER(LEFT(D33,3))&amp;"-"&amp;TEXT(30,"000"))</f>
        <v/>
      </c>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c r="AD33" s="10" t="n"/>
      <c r="AE33" s="10" t="n"/>
      <c r="AF33" s="10" t="n"/>
      <c r="AG33" s="10" t="n"/>
      <c r="AH33" s="10" t="n"/>
      <c r="AI33" s="10" t="n"/>
      <c r="AJ33" s="10" t="n"/>
    </row>
    <row r="34" ht="22" customHeight="1">
      <c r="A34" s="4" t="n">
        <v>31</v>
      </c>
      <c r="B34" s="6" t="n"/>
      <c r="C34" s="7">
        <f>IF(E34="","",UPPER(LEFT(D34,3))&amp;"-"&amp;TEXT(31,"000"))</f>
        <v/>
      </c>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c r="AA34" s="6" t="n"/>
      <c r="AB34" s="6" t="n"/>
      <c r="AC34" s="6" t="n"/>
      <c r="AD34" s="6" t="n"/>
      <c r="AE34" s="6" t="n"/>
      <c r="AF34" s="6" t="n"/>
      <c r="AG34" s="6" t="n"/>
      <c r="AH34" s="6" t="n"/>
      <c r="AI34" s="6" t="n"/>
      <c r="AJ34" s="6" t="n"/>
    </row>
    <row r="35" ht="22" customHeight="1">
      <c r="A35" s="8" t="n">
        <v>32</v>
      </c>
      <c r="B35" s="10" t="n"/>
      <c r="C35" s="11">
        <f>IF(E35="","",UPPER(LEFT(D35,3))&amp;"-"&amp;TEXT(32,"000"))</f>
        <v/>
      </c>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c r="AH35" s="10" t="n"/>
      <c r="AI35" s="10" t="n"/>
      <c r="AJ35" s="10" t="n"/>
    </row>
    <row r="36" ht="22" customHeight="1">
      <c r="A36" s="4" t="n">
        <v>33</v>
      </c>
      <c r="B36" s="6" t="n"/>
      <c r="C36" s="7">
        <f>IF(E36="","",UPPER(LEFT(D36,3))&amp;"-"&amp;TEXT(33,"000"))</f>
        <v/>
      </c>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c r="AA36" s="6" t="n"/>
      <c r="AB36" s="6" t="n"/>
      <c r="AC36" s="6" t="n"/>
      <c r="AD36" s="6" t="n"/>
      <c r="AE36" s="6" t="n"/>
      <c r="AF36" s="6" t="n"/>
      <c r="AG36" s="6" t="n"/>
      <c r="AH36" s="6" t="n"/>
      <c r="AI36" s="6" t="n"/>
      <c r="AJ36" s="6" t="n"/>
    </row>
    <row r="37" ht="22" customHeight="1">
      <c r="A37" s="8" t="n">
        <v>34</v>
      </c>
      <c r="B37" s="10" t="n"/>
      <c r="C37" s="11">
        <f>IF(E37="","",UPPER(LEFT(D37,3))&amp;"-"&amp;TEXT(34,"000"))</f>
        <v/>
      </c>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c r="AE37" s="10" t="n"/>
      <c r="AF37" s="10" t="n"/>
      <c r="AG37" s="10" t="n"/>
      <c r="AH37" s="10" t="n"/>
      <c r="AI37" s="10" t="n"/>
      <c r="AJ37" s="10" t="n"/>
    </row>
    <row r="38" ht="22" customHeight="1">
      <c r="A38" s="4" t="n">
        <v>35</v>
      </c>
      <c r="B38" s="6" t="n"/>
      <c r="C38" s="7">
        <f>IF(E38="","",UPPER(LEFT(D38,3))&amp;"-"&amp;TEXT(35,"000"))</f>
        <v/>
      </c>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c r="AA38" s="6" t="n"/>
      <c r="AB38" s="6" t="n"/>
      <c r="AC38" s="6" t="n"/>
      <c r="AD38" s="6" t="n"/>
      <c r="AE38" s="6" t="n"/>
      <c r="AF38" s="6" t="n"/>
      <c r="AG38" s="6" t="n"/>
      <c r="AH38" s="6" t="n"/>
      <c r="AI38" s="6" t="n"/>
      <c r="AJ38" s="6" t="n"/>
    </row>
    <row r="39" ht="22" customHeight="1">
      <c r="A39" s="8" t="n">
        <v>36</v>
      </c>
      <c r="B39" s="10" t="n"/>
      <c r="C39" s="11">
        <f>IF(E39="","",UPPER(LEFT(D39,3))&amp;"-"&amp;TEXT(36,"000"))</f>
        <v/>
      </c>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c r="AD39" s="10" t="n"/>
      <c r="AE39" s="10" t="n"/>
      <c r="AF39" s="10" t="n"/>
      <c r="AG39" s="10" t="n"/>
      <c r="AH39" s="10" t="n"/>
      <c r="AI39" s="10" t="n"/>
      <c r="AJ39" s="10" t="n"/>
    </row>
    <row r="40" ht="22" customHeight="1">
      <c r="A40" s="4" t="n">
        <v>37</v>
      </c>
      <c r="B40" s="6" t="n"/>
      <c r="C40" s="7">
        <f>IF(E40="","",UPPER(LEFT(D40,3))&amp;"-"&amp;TEXT(37,"000"))</f>
        <v/>
      </c>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c r="AA40" s="6" t="n"/>
      <c r="AB40" s="6" t="n"/>
      <c r="AC40" s="6" t="n"/>
      <c r="AD40" s="6" t="n"/>
      <c r="AE40" s="6" t="n"/>
      <c r="AF40" s="6" t="n"/>
      <c r="AG40" s="6" t="n"/>
      <c r="AH40" s="6" t="n"/>
      <c r="AI40" s="6" t="n"/>
      <c r="AJ40" s="6" t="n"/>
    </row>
    <row r="41" ht="22" customHeight="1">
      <c r="A41" s="8" t="n">
        <v>38</v>
      </c>
      <c r="B41" s="10" t="n"/>
      <c r="C41" s="11">
        <f>IF(E41="","",UPPER(LEFT(D41,3))&amp;"-"&amp;TEXT(38,"000"))</f>
        <v/>
      </c>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c r="AD41" s="10" t="n"/>
      <c r="AE41" s="10" t="n"/>
      <c r="AF41" s="10" t="n"/>
      <c r="AG41" s="10" t="n"/>
      <c r="AH41" s="10" t="n"/>
      <c r="AI41" s="10" t="n"/>
      <c r="AJ41" s="10" t="n"/>
    </row>
    <row r="42" ht="22" customHeight="1">
      <c r="A42" s="4" t="n">
        <v>39</v>
      </c>
      <c r="B42" s="6" t="n"/>
      <c r="C42" s="7">
        <f>IF(E42="","",UPPER(LEFT(D42,3))&amp;"-"&amp;TEXT(39,"000"))</f>
        <v/>
      </c>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c r="AA42" s="6" t="n"/>
      <c r="AB42" s="6" t="n"/>
      <c r="AC42" s="6" t="n"/>
      <c r="AD42" s="6" t="n"/>
      <c r="AE42" s="6" t="n"/>
      <c r="AF42" s="6" t="n"/>
      <c r="AG42" s="6" t="n"/>
      <c r="AH42" s="6" t="n"/>
      <c r="AI42" s="6" t="n"/>
      <c r="AJ42" s="6" t="n"/>
    </row>
    <row r="43" ht="22" customHeight="1">
      <c r="A43" s="8" t="n">
        <v>40</v>
      </c>
      <c r="B43" s="10" t="n"/>
      <c r="C43" s="11">
        <f>IF(E43="","",UPPER(LEFT(D43,3))&amp;"-"&amp;TEXT(40,"000"))</f>
        <v/>
      </c>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row>
    <row r="44" ht="22" customHeight="1">
      <c r="A44" s="4" t="n">
        <v>41</v>
      </c>
      <c r="B44" s="6" t="n"/>
      <c r="C44" s="7">
        <f>IF(E44="","",UPPER(LEFT(D44,3))&amp;"-"&amp;TEXT(41,"000"))</f>
        <v/>
      </c>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c r="AA44" s="6" t="n"/>
      <c r="AB44" s="6" t="n"/>
      <c r="AC44" s="6" t="n"/>
      <c r="AD44" s="6" t="n"/>
      <c r="AE44" s="6" t="n"/>
      <c r="AF44" s="6" t="n"/>
      <c r="AG44" s="6" t="n"/>
      <c r="AH44" s="6" t="n"/>
      <c r="AI44" s="6" t="n"/>
      <c r="AJ44" s="6" t="n"/>
    </row>
    <row r="45" ht="22" customHeight="1">
      <c r="A45" s="8" t="n">
        <v>42</v>
      </c>
      <c r="B45" s="10" t="n"/>
      <c r="C45" s="11">
        <f>IF(E45="","",UPPER(LEFT(D45,3))&amp;"-"&amp;TEXT(42,"000"))</f>
        <v/>
      </c>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row>
    <row r="46" ht="22" customHeight="1">
      <c r="A46" s="4" t="n">
        <v>43</v>
      </c>
      <c r="B46" s="6" t="n"/>
      <c r="C46" s="7">
        <f>IF(E46="","",UPPER(LEFT(D46,3))&amp;"-"&amp;TEXT(43,"000"))</f>
        <v/>
      </c>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c r="AA46" s="6" t="n"/>
      <c r="AB46" s="6" t="n"/>
      <c r="AC46" s="6" t="n"/>
      <c r="AD46" s="6" t="n"/>
      <c r="AE46" s="6" t="n"/>
      <c r="AF46" s="6" t="n"/>
      <c r="AG46" s="6" t="n"/>
      <c r="AH46" s="6" t="n"/>
      <c r="AI46" s="6" t="n"/>
      <c r="AJ46" s="6" t="n"/>
    </row>
    <row r="47" ht="22" customHeight="1">
      <c r="A47" s="8" t="n">
        <v>44</v>
      </c>
      <c r="B47" s="10" t="n"/>
      <c r="C47" s="11">
        <f>IF(E47="","",UPPER(LEFT(D47,3))&amp;"-"&amp;TEXT(44,"000"))</f>
        <v/>
      </c>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c r="AH47" s="10" t="n"/>
      <c r="AI47" s="10" t="n"/>
      <c r="AJ47" s="10" t="n"/>
    </row>
    <row r="48" ht="22" customHeight="1">
      <c r="A48" s="4" t="n">
        <v>45</v>
      </c>
      <c r="B48" s="6" t="n"/>
      <c r="C48" s="7">
        <f>IF(E48="","",UPPER(LEFT(D48,3))&amp;"-"&amp;TEXT(45,"000"))</f>
        <v/>
      </c>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c r="AA48" s="6" t="n"/>
      <c r="AB48" s="6" t="n"/>
      <c r="AC48" s="6" t="n"/>
      <c r="AD48" s="6" t="n"/>
      <c r="AE48" s="6" t="n"/>
      <c r="AF48" s="6" t="n"/>
      <c r="AG48" s="6" t="n"/>
      <c r="AH48" s="6" t="n"/>
      <c r="AI48" s="6" t="n"/>
      <c r="AJ48" s="6" t="n"/>
    </row>
    <row r="49" ht="22" customHeight="1">
      <c r="A49" s="8" t="n">
        <v>46</v>
      </c>
      <c r="B49" s="10" t="n"/>
      <c r="C49" s="11">
        <f>IF(E49="","",UPPER(LEFT(D49,3))&amp;"-"&amp;TEXT(46,"000"))</f>
        <v/>
      </c>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c r="AH49" s="10" t="n"/>
      <c r="AI49" s="10" t="n"/>
      <c r="AJ49" s="10" t="n"/>
    </row>
    <row r="50" ht="22" customHeight="1">
      <c r="A50" s="4" t="n">
        <v>47</v>
      </c>
      <c r="B50" s="6" t="n"/>
      <c r="C50" s="7">
        <f>IF(E50="","",UPPER(LEFT(D50,3))&amp;"-"&amp;TEXT(47,"000"))</f>
        <v/>
      </c>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c r="AA50" s="6" t="n"/>
      <c r="AB50" s="6" t="n"/>
      <c r="AC50" s="6" t="n"/>
      <c r="AD50" s="6" t="n"/>
      <c r="AE50" s="6" t="n"/>
      <c r="AF50" s="6" t="n"/>
      <c r="AG50" s="6" t="n"/>
      <c r="AH50" s="6" t="n"/>
      <c r="AI50" s="6" t="n"/>
      <c r="AJ50" s="6" t="n"/>
    </row>
    <row r="51" ht="22" customHeight="1">
      <c r="A51" s="8" t="n">
        <v>48</v>
      </c>
      <c r="B51" s="10" t="n"/>
      <c r="C51" s="11">
        <f>IF(E51="","",UPPER(LEFT(D51,3))&amp;"-"&amp;TEXT(48,"000"))</f>
        <v/>
      </c>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c r="AD51" s="10" t="n"/>
      <c r="AE51" s="10" t="n"/>
      <c r="AF51" s="10" t="n"/>
      <c r="AG51" s="10" t="n"/>
      <c r="AH51" s="10" t="n"/>
      <c r="AI51" s="10" t="n"/>
      <c r="AJ51" s="10" t="n"/>
    </row>
    <row r="52" ht="22" customHeight="1">
      <c r="A52" s="4" t="n">
        <v>49</v>
      </c>
      <c r="B52" s="6" t="n"/>
      <c r="C52" s="7">
        <f>IF(E52="","",UPPER(LEFT(D52,3))&amp;"-"&amp;TEXT(49,"000"))</f>
        <v/>
      </c>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c r="AA52" s="6" t="n"/>
      <c r="AB52" s="6" t="n"/>
      <c r="AC52" s="6" t="n"/>
      <c r="AD52" s="6" t="n"/>
      <c r="AE52" s="6" t="n"/>
      <c r="AF52" s="6" t="n"/>
      <c r="AG52" s="6" t="n"/>
      <c r="AH52" s="6" t="n"/>
      <c r="AI52" s="6" t="n"/>
      <c r="AJ52" s="6" t="n"/>
    </row>
    <row r="53" ht="22" customHeight="1">
      <c r="A53" s="8" t="n">
        <v>50</v>
      </c>
      <c r="B53" s="10" t="n"/>
      <c r="C53" s="11">
        <f>IF(E53="","",UPPER(LEFT(D53,3))&amp;"-"&amp;TEXT(50,"000"))</f>
        <v/>
      </c>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c r="AF53" s="10" t="n"/>
      <c r="AG53" s="10" t="n"/>
      <c r="AH53" s="10" t="n"/>
      <c r="AI53" s="10" t="n"/>
      <c r="AJ53" s="10" t="n"/>
    </row>
  </sheetData>
  <mergeCells count="2">
    <mergeCell ref="A2:AJ2"/>
    <mergeCell ref="A1:AJ1"/>
  </mergeCells>
  <conditionalFormatting sqref="AD4:AD53">
    <cfRule type="containsText" priority="1" operator="containsText" dxfId="0" text="Approved">
      <formula>NOT(ISERROR(SEARCH("Approved",AD4)))</formula>
    </cfRule>
    <cfRule type="containsText" priority="2" operator="containsText" dxfId="0" text="Published">
      <formula>NOT(ISERROR(SEARCH("Published",AD4)))</formula>
    </cfRule>
    <cfRule type="containsText" priority="3" operator="containsText" dxfId="0" text="Live">
      <formula>NOT(ISERROR(SEARCH("Live",AD4)))</formula>
    </cfRule>
    <cfRule type="containsText" priority="4" operator="containsText" dxfId="1" text="Cancelled">
      <formula>NOT(ISERROR(SEARCH("Cancelled",AD4)))</formula>
    </cfRule>
    <cfRule type="containsText" priority="5" operator="containsText" dxfId="1" text="Rejected">
      <formula>NOT(ISERROR(SEARCH("Rejected",AD4)))</formula>
    </cfRule>
    <cfRule type="containsText" priority="6" operator="containsText" dxfId="2" text="On Hold">
      <formula>NOT(ISERROR(SEARCH("On Hold",AD4)))</formula>
    </cfRule>
    <cfRule type="containsText" priority="7" operator="containsText" dxfId="2" text="Revision">
      <formula>NOT(ISERROR(SEARCH("Revision",AD4)))</formula>
    </cfRule>
    <cfRule type="containsText" priority="8" operator="containsText" dxfId="2" text="Changes">
      <formula>NOT(ISERROR(SEARCH("Changes",AD4)))</formula>
    </cfRule>
  </conditionalFormatting>
  <conditionalFormatting sqref="AE4:AE53">
    <cfRule type="containsText" priority="9" operator="containsText" dxfId="0" text="Approved">
      <formula>NOT(ISERROR(SEARCH("Approved",AE4)))</formula>
    </cfRule>
    <cfRule type="containsText" priority="10" operator="containsText" dxfId="1" text="Rejected">
      <formula>NOT(ISERROR(SEARCH("Rejected",AE4)))</formula>
    </cfRule>
    <cfRule type="containsText" priority="11" operator="containsText" dxfId="2" text="Changes">
      <formula>NOT(ISERROR(SEARCH("Changes",AE4)))</formula>
    </cfRule>
  </conditionalFormatting>
  <conditionalFormatting sqref="AF4:AF53">
    <cfRule type="containsText" priority="12" operator="containsText" dxfId="0" text="Approved">
      <formula>NOT(ISERROR(SEARCH("Approved",AF4)))</formula>
    </cfRule>
    <cfRule type="containsText" priority="13" operator="containsText" dxfId="1" text="Rejected">
      <formula>NOT(ISERROR(SEARCH("Rejected",AF4)))</formula>
    </cfRule>
    <cfRule type="containsText" priority="14" operator="containsText" dxfId="2" text="Changes">
      <formula>NOT(ISERROR(SEARCH("Changes",AF4)))</formula>
    </cfRule>
  </conditionalFormatting>
  <dataValidations count="14">
    <dataValidation sqref="D4:D53" showDropDown="0" showInputMessage="1" showErrorMessage="1" allowBlank="1" errorTitle="Invalid" error="Select from list." promptTitle="Vertical" prompt="Select vertical." type="list">
      <formula1>"Digital Transformation,Industrial Goods &amp; Consumer Products,Structural Engineering,MedTech,Energy &amp; Utilities,Sustainability,BFSI,Product Innovation,SolidPro AI,Other"</formula1>
    </dataValidation>
    <dataValidation sqref="AC4:AC53" showDropDown="0" showInputMessage="1" showErrorMessage="1" allowBlank="1" errorTitle="Invalid" error="Select from list." promptTitle="Priority" prompt="Urgency level." type="list">
      <formula1>"🔴 Critical,🟠 High,🟡 Medium,🟢 Low"</formula1>
    </dataValidation>
    <dataValidation sqref="AD4:AD53" showDropDown="0" showInputMessage="1" showErrorMessage="1" allowBlank="1" errorTitle="Invalid" error="Select from list." promptTitle="Status" prompt="Workflow status." type="list">
      <formula1>"📋 Briefed,✍ In Progress,🔁 In Revision,✅ Approved by Project Head,✅ Approved by Manager,🚀 Published / Live,⏸ On Hold,❌ Cancelled"</formula1>
    </dataValidation>
    <dataValidation sqref="AE4:AE53" showDropDown="0" showInputMessage="1" showErrorMessage="1" allowBlank="1" errorTitle="Invalid" error="Select from list." promptTitle="Project Head" prompt="Approval from Project Head." type="list">
      <formula1>"⏳ Pending,✅ Approved,🔁 Changes Requested,❌ Rejected"</formula1>
    </dataValidation>
    <dataValidation sqref="AF4:AF53" showDropDown="0" showInputMessage="1" showErrorMessage="1" allowBlank="1" errorTitle="Invalid" error="Select from list." promptTitle="Manager" prompt="Approval from Manager." type="list">
      <formula1>"⏳ Pending,✅ Approved,🔁 Changes Requested,❌ Rejected"</formula1>
    </dataValidation>
    <dataValidation sqref="AJ4:AJ53" showDropDown="0" showInputMessage="1" showErrorMessage="1" allowBlank="1" errorTitle="Invalid" error="Select from list." promptTitle="Archived" prompt="Mark Yes when done." type="list">
      <formula1>"No,Yes"</formula1>
    </dataValidation>
    <dataValidation sqref="Z4:Z53" showDropDown="0" showInputMessage="1" showErrorMessage="1" allowBlank="1" errorTitle="Invalid Date" error="Enter a valid date." promptTitle="Enter Date" prompt="Format: DD-MM-YYYY" type="date" operator="greaterThan">
      <formula1>DATE(2024,1,1)</formula1>
    </dataValidation>
    <dataValidation sqref="AA4:AA53" showDropDown="0" showInputMessage="1" showErrorMessage="1" allowBlank="1" errorTitle="Invalid Date" error="Enter a valid date." promptTitle="Enter Date" prompt="Format: DD-MM-YYYY" type="date" operator="greaterThan">
      <formula1>DATE(2024,1,1)</formula1>
    </dataValidation>
    <dataValidation sqref="AB4:AB53" showDropDown="0" showInputMessage="1" showErrorMessage="1" allowBlank="1" errorTitle="Invalid Date" error="Enter a valid date." promptTitle="Enter Date" prompt="Format: DD-MM-YYYY" type="date" operator="greaterThan">
      <formula1>DATE(2024,1,1)</formula1>
    </dataValidation>
    <dataValidation sqref="F4:F53" showDropDown="0" showInputMessage="1" showErrorMessage="1" allowBlank="1" errorTitle="Invalid" error="Select from list." promptTitle="Event Type" prompt="Type of event." type="list">
      <formula1>"Webinar,Virtual Event,In-Person Event,Hybrid Event,Workshop,Roundtable,Conference,Podcast,Trade Show,Other"</formula1>
    </dataValidation>
    <dataValidation sqref="H4:H53" showDropDown="0" showInputMessage="1" showErrorMessage="1" allowBlank="1" errorTitle="Invalid" error="Select from list." promptTitle="Event Format" prompt="Delivery format." type="list">
      <formula1>"Live,Pre-recorded,On-Demand,Hybrid"</formula1>
    </dataValidation>
    <dataValidation sqref="M4:M53" showDropDown="0" showInputMessage="1" showErrorMessage="1" allowBlank="1" errorTitle="Invalid" error="Select from list." promptTitle="Platform" prompt="Event platform." type="list">
      <formula1>"Zoom,Microsoft Teams,Google Meet,Hopin,Airmeet,LinkedIn Live,YouTube Live,Other"</formula1>
    </dataValidation>
    <dataValidation sqref="T4:T53" showDropDown="0" showInputMessage="1" showErrorMessage="1" allowBlank="1" errorTitle="Invalid" error="Select from list." promptTitle="Follow-Up" prompt="Post-event follow-up email status." type="list">
      <formula1>"No,Yes – Sent,Scheduled"</formula1>
    </dataValidation>
    <dataValidation sqref="N4:N53" showDropDown="0" showInputMessage="1" showErrorMessage="1" allowBlank="1" errorTitle="Invalid Date" error="Enter a valid date." promptTitle="Enter Date" prompt="Format: DD-MM-YYYY" type="date" operator="greaterThan">
      <formula1>DATE(2024,1,1)</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5"/>
  <sheetViews>
    <sheetView showGridLines="0" workbookViewId="0">
      <selection activeCell="A1" sqref="A1"/>
    </sheetView>
  </sheetViews>
  <sheetFormatPr baseColWidth="8" defaultRowHeight="15"/>
  <cols>
    <col width="40" customWidth="1" min="1" max="1"/>
    <col width="14" customWidth="1" min="2" max="2"/>
  </cols>
  <sheetData>
    <row r="1" ht="36" customHeight="1">
      <c r="A1" s="28" t="inlineStr">
        <is>
          <t>SolidPro Marketing — Campaign Dashboard</t>
        </is>
      </c>
    </row>
    <row r="2" ht="16" customHeight="1">
      <c r="A2" s="29" t="inlineStr">
        <is>
          <t>Auto-calculated from all tracker sheets  |  Refresh by pressing Ctrl+Alt+F9</t>
        </is>
      </c>
    </row>
    <row r="4">
      <c r="A4" s="30" t="inlineStr">
        <is>
          <t>Assets by Tracker Sheet</t>
        </is>
      </c>
    </row>
    <row r="5">
      <c r="A5" s="31" t="inlineStr">
        <is>
          <t>🎨 Creatives</t>
        </is>
      </c>
      <c r="B5" s="32">
        <f>COUNTA('🎨 Creatives'!E4:E53)</f>
        <v/>
      </c>
    </row>
    <row r="6">
      <c r="A6" s="31" t="inlineStr">
        <is>
          <t>🌐 Landing Pages</t>
        </is>
      </c>
      <c r="B6" s="32">
        <f>COUNTA('🌐 Landing Pages'!E4:E53)</f>
        <v/>
      </c>
    </row>
    <row r="7">
      <c r="A7" s="31" t="inlineStr">
        <is>
          <t>✍ Content Writing</t>
        </is>
      </c>
      <c r="B7" s="32">
        <f>COUNTA('✍ Content Writing'!E4:E53)</f>
        <v/>
      </c>
    </row>
    <row r="8">
      <c r="A8" s="31" t="inlineStr">
        <is>
          <t>🎁 Lead Magnets</t>
        </is>
      </c>
      <c r="B8" s="32">
        <f>COUNTA('🎁 Lead Magnets'!E4:E53)</f>
        <v/>
      </c>
    </row>
    <row r="9">
      <c r="A9" s="31" t="inlineStr">
        <is>
          <t>📧 Email Sequences</t>
        </is>
      </c>
      <c r="B9" s="32">
        <f>COUNTA('📧 Email Sequences'!E4:E53)</f>
        <v/>
      </c>
    </row>
    <row r="10">
      <c r="A10" s="31" t="inlineStr">
        <is>
          <t>📣 Ad Copy</t>
        </is>
      </c>
      <c r="B10" s="32">
        <f>COUNTA('📣 Ad Copy'!E4:E53)</f>
        <v/>
      </c>
    </row>
    <row r="11">
      <c r="A11" s="31" t="inlineStr">
        <is>
          <t>🔍 SEO</t>
        </is>
      </c>
      <c r="B11" s="32">
        <f>COUNTA('🔍 SEO'!E4:E53)</f>
        <v/>
      </c>
    </row>
    <row r="12">
      <c r="A12" s="31" t="inlineStr">
        <is>
          <t>🎤 Webinars &amp; Events</t>
        </is>
      </c>
      <c r="B12" s="32">
        <f>COUNTA('🎤 Webinars &amp; Events'!E4:E53)</f>
        <v/>
      </c>
    </row>
    <row r="13">
      <c r="A13" s="33" t="inlineStr">
        <is>
          <t>TOTAL ASSETS</t>
        </is>
      </c>
      <c r="B13" s="34">
        <f>SUM(B5:B12)</f>
        <v/>
      </c>
    </row>
    <row r="16">
      <c r="A16" s="30" t="inlineStr">
        <is>
          <t>Campaigns by Status</t>
        </is>
      </c>
    </row>
    <row r="17">
      <c r="A17" s="31" t="inlineStr">
        <is>
          <t>🗓 Planning</t>
        </is>
      </c>
      <c r="B17" s="32">
        <f>COUNTIF('🗂 Campaign Master'!N4:N53,"*Planning*")</f>
        <v/>
      </c>
    </row>
    <row r="18">
      <c r="A18" s="31" t="inlineStr">
        <is>
          <t>🚀 Active</t>
        </is>
      </c>
      <c r="B18" s="32">
        <f>COUNTIF('🗂 Campaign Master'!N4:N53,"*Active*")</f>
        <v/>
      </c>
    </row>
    <row r="19">
      <c r="A19" s="31" t="inlineStr">
        <is>
          <t>✅ Completed</t>
        </is>
      </c>
      <c r="B19" s="32">
        <f>COUNTIF('🗂 Campaign Master'!N4:N53,"*Completed*")</f>
        <v/>
      </c>
    </row>
    <row r="20">
      <c r="A20" s="31" t="inlineStr">
        <is>
          <t>⏸ Paused</t>
        </is>
      </c>
      <c r="B20" s="32">
        <f>COUNTIF('🗂 Campaign Master'!N4:N53,"*Paused*")</f>
        <v/>
      </c>
    </row>
    <row r="21">
      <c r="A21" s="31" t="inlineStr">
        <is>
          <t>❌ Cancelled</t>
        </is>
      </c>
      <c r="B21" s="32">
        <f>COUNTIF('🗂 Campaign Master'!N4:N53,"*Cancelled*")</f>
        <v/>
      </c>
    </row>
    <row r="25">
      <c r="A25" s="30" t="inlineStr">
        <is>
          <t>Assets by Vertical</t>
        </is>
      </c>
    </row>
    <row r="26">
      <c r="A26" s="31" t="inlineStr">
        <is>
          <t>Digital Transformation</t>
        </is>
      </c>
      <c r="B26" s="32">
        <f>COUNTIF('🗂 Campaign Master'!D4:D53,"*Digital Transformation*")</f>
        <v/>
      </c>
    </row>
    <row r="27">
      <c r="A27" s="31" t="inlineStr">
        <is>
          <t>Industrial Goods &amp; Consumer Products</t>
        </is>
      </c>
      <c r="B27" s="32">
        <f>COUNTIF('🗂 Campaign Master'!D4:D53,"*Industrial Goods &amp; Consumer Products*")</f>
        <v/>
      </c>
    </row>
    <row r="28">
      <c r="A28" s="31" t="inlineStr">
        <is>
          <t>Structural Engineering</t>
        </is>
      </c>
      <c r="B28" s="32">
        <f>COUNTIF('🗂 Campaign Master'!D4:D53,"*Structural Engineering*")</f>
        <v/>
      </c>
    </row>
    <row r="29">
      <c r="A29" s="31" t="inlineStr">
        <is>
          <t>MedTech</t>
        </is>
      </c>
      <c r="B29" s="32">
        <f>COUNTIF('🗂 Campaign Master'!D4:D53,"*MedTech*")</f>
        <v/>
      </c>
    </row>
    <row r="30">
      <c r="A30" s="31" t="inlineStr">
        <is>
          <t>Energy &amp; Utilities</t>
        </is>
      </c>
      <c r="B30" s="32">
        <f>COUNTIF('🗂 Campaign Master'!D4:D53,"*Energy &amp; Utilities*")</f>
        <v/>
      </c>
    </row>
    <row r="31">
      <c r="A31" s="31" t="inlineStr">
        <is>
          <t>Sustainability</t>
        </is>
      </c>
      <c r="B31" s="32">
        <f>COUNTIF('🗂 Campaign Master'!D4:D53,"*Sustainability*")</f>
        <v/>
      </c>
    </row>
    <row r="32">
      <c r="A32" s="31" t="inlineStr">
        <is>
          <t>BFSI</t>
        </is>
      </c>
      <c r="B32" s="32">
        <f>COUNTIF('🗂 Campaign Master'!D4:D53,"*BFSI*")</f>
        <v/>
      </c>
    </row>
    <row r="33">
      <c r="A33" s="31" t="inlineStr">
        <is>
          <t>Product Innovation</t>
        </is>
      </c>
      <c r="B33" s="32">
        <f>COUNTIF('🗂 Campaign Master'!D4:D53,"*Product Innovation*")</f>
        <v/>
      </c>
    </row>
    <row r="34">
      <c r="A34" s="31" t="inlineStr">
        <is>
          <t>SolidPro AI</t>
        </is>
      </c>
      <c r="B34" s="32">
        <f>COUNTIF('🗂 Campaign Master'!D4:D53,"*SolidPro AI*")</f>
        <v/>
      </c>
    </row>
    <row r="35">
      <c r="A35" s="31" t="inlineStr">
        <is>
          <t>Other</t>
        </is>
      </c>
      <c r="B35" s="32">
        <f>COUNTIF('🗂 Campaign Master'!D4:D53,"*Other*")</f>
        <v/>
      </c>
    </row>
  </sheetData>
  <mergeCells count="2">
    <mergeCell ref="A1:J1"/>
    <mergeCell ref="A2:J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4"/>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s>
  <sheetData>
    <row r="1" ht="34" customHeight="1">
      <c r="A1" s="35" t="inlineStr">
        <is>
          <t>SolidPro Marketing Tracker — How To Use This File</t>
        </is>
      </c>
    </row>
    <row r="3" ht="20" customHeight="1">
      <c r="A3" s="36" t="inlineStr">
        <is>
          <t>STEP 1 — Create a Campaign</t>
        </is>
      </c>
    </row>
    <row r="4" ht="52" customHeight="1">
      <c r="A4" s="37" t="inlineStr">
        <is>
          <t>Go to 🗂 Campaign Master. Fill in Campaign Name, Vertical, Goal, Dates, Owner, and Status. The Campaign ID (e.g. CAMP-001) is auto-generated. This ID is your anchor — every asset in every other tab must reference it.</t>
        </is>
      </c>
    </row>
    <row r="6" ht="20" customHeight="1">
      <c r="A6" s="36" t="inlineStr">
        <is>
          <t>STEP 2 — Add Creatives (Graphic / Video)</t>
        </is>
      </c>
    </row>
    <row r="7" ht="52" customHeight="1">
      <c r="A7" s="37" t="inlineStr">
        <is>
          <t>Go to 🎨 Creatives. Paste the Campaign ID in column B. Fill in asset details — Content Type, Asset Type, Owner, Due Date, Post Date, and Status. Asset IDs are auto-generated.</t>
        </is>
      </c>
    </row>
    <row r="9" ht="20" customHeight="1">
      <c r="A9" s="36" t="inlineStr">
        <is>
          <t>STEP 3 — Plan Landing Pages</t>
        </is>
      </c>
    </row>
    <row r="10" ht="52" customHeight="1">
      <c r="A10" s="37" t="inlineStr">
        <is>
          <t>Go to 🌐 Landing Pages. Link to the Campaign ID. Fill in Page Goal, Type, CTA, Form Fields, SEO Title, and Dev Owner (SS). Paste linked Creative Asset IDs and Lead Magnet IDs once created.</t>
        </is>
      </c>
    </row>
    <row r="12" ht="20" customHeight="1">
      <c r="A12" s="36" t="inlineStr">
        <is>
          <t>STEP 4 — Brief Content Writing</t>
        </is>
      </c>
    </row>
    <row r="13" ht="52" customHeight="1">
      <c r="A13" s="37" t="inlineStr">
        <is>
          <t>Go to ✍ Content Writing. Link to Campaign ID. Specify format, topic, target keyword, word count, and funnel stage. Paste the Landing Page ID if content supports a landing page.</t>
        </is>
      </c>
    </row>
    <row r="15" ht="20" customHeight="1">
      <c r="A15" s="36" t="inlineStr">
        <is>
          <t>STEP 5 — Add Lead Magnets</t>
        </is>
      </c>
    </row>
    <row r="16" ht="52" customHeight="1">
      <c r="A16" s="37" t="inlineStr">
        <is>
          <t>Go to 🎁 Lead Magnets. Link to Campaign ID. Choose type (Assessment, Downloadable PDF, Checklist, etc.), specify if gated, and note where leads are routed (HubSpot, Zoho, etc.).</t>
        </is>
      </c>
    </row>
    <row r="18" ht="20" customHeight="1">
      <c r="A18" s="36" t="inlineStr">
        <is>
          <t>STEP 6 — Plan Email Sequences</t>
        </is>
      </c>
    </row>
    <row r="19" ht="52" customHeight="1">
      <c r="A19" s="37" t="inlineStr">
        <is>
          <t>Go to 📧 Email Sequences. Each email in a sequence gets its own row. Note the sequence name, trigger, email #, subject line, CTA, and send delay. Link to Lead Magnet ID if triggered by a download.</t>
        </is>
      </c>
    </row>
    <row r="21" ht="20" customHeight="1">
      <c r="A21" s="36" t="inlineStr">
        <is>
          <t>STEP 7 — Log Ad Copy</t>
        </is>
      </c>
    </row>
    <row r="22" ht="52" customHeight="1">
      <c r="A22" s="37" t="inlineStr">
        <is>
          <t>Go to 📣 Ad Copy. Paste Campaign ID. Fill in platform, format, headlines, body copy, CTA, destination URL, and UTM parameters. Link creative Asset IDs for visual reference.</t>
        </is>
      </c>
    </row>
    <row r="24" ht="20" customHeight="1">
      <c r="A24" s="36" t="inlineStr">
        <is>
          <t>STEP 8 — Track SEO Tasks</t>
        </is>
      </c>
    </row>
    <row r="25" ht="52" customHeight="1">
      <c r="A25" s="37" t="inlineStr">
        <is>
          <t>Go to 🔍 SEO. Each row is an SEO task tied to a campaign or page. Specify task type, target URL, keywords, current/target rankings, and on-page changes.</t>
        </is>
      </c>
    </row>
    <row r="27" ht="20" customHeight="1">
      <c r="A27" s="36" t="inlineStr">
        <is>
          <t>STEP 9 — Manage Webinars &amp; Events</t>
        </is>
      </c>
    </row>
    <row r="28" ht="52" customHeight="1">
      <c r="A28" s="37" t="inlineStr">
        <is>
          <t>Go to 🎤 Webinars &amp; Events. Log event type, date, speaker, registration link, platform, and expected attendance. After the event, fill in actual attendance, recording link, and follow-up status.</t>
        </is>
      </c>
    </row>
    <row r="30" ht="20" customHeight="1">
      <c r="A30" s="36" t="inlineStr">
        <is>
          <t>APPROVAL WORKFLOW</t>
        </is>
      </c>
    </row>
    <row r="31" ht="52" customHeight="1">
      <c r="A31" s="37" t="inlineStr">
        <is>
          <t>All asset sheets follow a two-gate approval: (1) Approved by Project Head → (2) Approved by Manager. Both approval columns have dropdowns: Pending / Approved / Changes Requested / Rejected. Conditional formatting auto-highlights status.</t>
        </is>
      </c>
    </row>
    <row r="33" ht="20" customHeight="1">
      <c r="A33" s="36" t="inlineStr">
        <is>
          <t>CAMPAIGN ID LINKING LOGIC</t>
        </is>
      </c>
    </row>
    <row r="34" ht="52" customHeight="1">
      <c r="A34" s="37" t="inlineStr">
        <is>
          <t>Example flow: Campaign CAMP-001 (LinkedIn Lead Gen) → Social Post (CRE-001) drives traffic → Landing Page (LP-001) captures leads → Lead Magnet PDF (LM-001) is the offer → Email Sequence (EM-001) nurtures the lead. All rows in each sheet carry CAMP-001 in Column B.</t>
        </is>
      </c>
    </row>
  </sheetData>
  <mergeCells count="23">
    <mergeCell ref="A30:E30"/>
    <mergeCell ref="A34:E34"/>
    <mergeCell ref="A24:E24"/>
    <mergeCell ref="A15:E15"/>
    <mergeCell ref="A1:E1"/>
    <mergeCell ref="A6:E6"/>
    <mergeCell ref="A16:E16"/>
    <mergeCell ref="A7:E7"/>
    <mergeCell ref="A25:E25"/>
    <mergeCell ref="A18:E18"/>
    <mergeCell ref="A27:E27"/>
    <mergeCell ref="A3:E3"/>
    <mergeCell ref="A21:E21"/>
    <mergeCell ref="A12:E12"/>
    <mergeCell ref="A33:E33"/>
    <mergeCell ref="A22:E22"/>
    <mergeCell ref="A4:E4"/>
    <mergeCell ref="A10:E10"/>
    <mergeCell ref="A28:E28"/>
    <mergeCell ref="A19:E19"/>
    <mergeCell ref="A13:E13"/>
    <mergeCell ref="A31:E31"/>
    <mergeCell ref="A9:E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2026-04-20T13:32:45Z</dcterms:created>
  <dcterms:modified xmlns:dcterms="http://purl.org/dc/terms/" xmlns:xsi="http://www.w3.org/2001/XMLSchema-instance" xsi:type="dcterms:W3CDTF">2026-04-20T13:42:52Z</dcterms:modified>
</cp:coreProperties>
</file>