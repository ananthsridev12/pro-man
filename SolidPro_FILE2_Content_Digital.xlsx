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🌐 Landing Pages" sheetId="1" state="visible" r:id="rId1"/>
    <sheet xmlns:r="http://schemas.openxmlformats.org/officeDocument/2006/relationships" name="✍ Content Writing" sheetId="2" state="visible" r:id="rId2"/>
    <sheet xmlns:r="http://schemas.openxmlformats.org/officeDocument/2006/relationships" name="🎁 Lead Magnets" sheetId="3" state="visible" r:id="rId3"/>
    <sheet xmlns:r="http://schemas.openxmlformats.org/officeDocument/2006/relationships" name="📧 Email Sequences" sheetId="4" state="visible" r:id="rId4"/>
    <sheet xmlns:r="http://schemas.openxmlformats.org/officeDocument/2006/relationships" name="🔍 SEO" sheetId="5" state="visible" r:id="rId5"/>
    <sheet xmlns:r="http://schemas.openxmlformats.org/officeDocument/2006/relationships" name="🎤 Webinars &amp; Events" sheetId="6" state="visible" r:id="rId6"/>
    <sheet xmlns:r="http://schemas.openxmlformats.org/officeDocument/2006/relationships" name="📊 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AAAAAA"/>
      <sz val="9"/>
    </font>
    <font>
      <name val="Arial"/>
      <b val="1"/>
      <color rgb="00FFFFFF"/>
      <sz val="8"/>
    </font>
    <font>
      <name val="Arial"/>
      <sz val="9"/>
    </font>
    <font>
      <name val="Arial"/>
      <b val="1"/>
      <sz val="8"/>
    </font>
    <font>
      <name val="Arial"/>
      <b val="1"/>
      <color rgb="00FFFFFF"/>
      <sz val="9"/>
    </font>
    <font>
      <name val="Arial"/>
      <b val="1"/>
      <sz val="9"/>
    </font>
  </fonts>
  <fills count="12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1A1A2E"/>
      </patternFill>
    </fill>
    <fill>
      <patternFill patternType="solid">
        <fgColor rgb="00EAF4FB"/>
      </patternFill>
    </fill>
    <fill>
      <patternFill patternType="solid">
        <fgColor rgb="00FFFFFF"/>
      </patternFill>
    </fill>
    <fill>
      <patternFill patternType="solid">
        <fgColor rgb="004A148C"/>
      </patternFill>
    </fill>
    <fill>
      <patternFill patternType="solid">
        <fgColor rgb="00BF360C"/>
      </patternFill>
    </fill>
    <fill>
      <patternFill patternType="solid">
        <fgColor rgb="0000695C"/>
      </patternFill>
    </fill>
    <fill>
      <patternFill patternType="solid">
        <fgColor rgb="001565C0"/>
      </patternFill>
    </fill>
    <fill>
      <patternFill patternType="solid">
        <fgColor rgb="004E342E"/>
      </patternFill>
    </fill>
    <fill>
      <patternFill patternType="solid">
        <fgColor rgb="000B3D2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/>
    </xf>
    <xf numFmtId="0" fontId="6" fillId="11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11" borderId="1" applyAlignment="1" pivotButton="0" quotePrefix="0" xfId="0">
      <alignment horizontal="center"/>
    </xf>
    <xf numFmtId="0" fontId="4" fillId="5" borderId="1" pivotButton="0" quotePrefix="0" xfId="0"/>
    <xf numFmtId="0" fontId="7" fillId="5" borderId="1" applyAlignment="1" pivotButton="0" quotePrefix="0" xfId="0">
      <alignment horizontal="center"/>
    </xf>
    <xf numFmtId="0" fontId="4" fillId="4" borderId="1" pivotButton="0" quotePrefix="0" xfId="0"/>
    <xf numFmtId="0" fontId="7" fillId="4" borderId="1" applyAlignment="1" pivotButton="0" quotePrefix="0" xfId="0">
      <alignment horizontal="center"/>
    </xf>
    <xf numFmtId="0" fontId="6" fillId="2" borderId="1" pivotButton="0" quotePrefix="0" xfId="0"/>
    <xf numFmtId="0" fontId="3" fillId="2" borderId="1" applyAlignment="1" pivotButton="0" quotePrefix="0" xfId="0">
      <alignment horizontal="center"/>
    </xf>
    <xf numFmtId="0" fontId="6" fillId="7" borderId="1" pivotButton="0" quotePrefix="0" xfId="0"/>
    <xf numFmtId="0" fontId="3" fillId="7" borderId="1" applyAlignment="1" pivotButton="0" quotePrefix="0" xfId="0">
      <alignment horizontal="center"/>
    </xf>
    <xf numFmtId="0" fontId="6" fillId="9" borderId="1" pivotButton="0" quotePrefix="0" xfId="0"/>
    <xf numFmtId="0" fontId="3" fillId="9" borderId="1" applyAlignment="1" pivotButton="0" quotePrefix="0" xfId="0">
      <alignment horizontal="center"/>
    </xf>
    <xf numFmtId="0" fontId="6" fillId="10" borderId="1" pivotButton="0" quotePrefix="0" xfId="0"/>
    <xf numFmtId="0" fontId="3" fillId="1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Arial"/>
        <b val="1"/>
        <color rgb="001E8449"/>
        <sz val="9"/>
      </font>
      <fill>
        <patternFill patternType="solid">
          <fgColor rgb="00D5F5E3"/>
          <bgColor rgb="00D5F5E3"/>
        </patternFill>
      </fill>
    </dxf>
    <dxf>
      <font>
        <name val="Arial"/>
        <b val="1"/>
        <color rgb="00C0392B"/>
        <sz val="9"/>
      </font>
      <fill>
        <patternFill patternType="solid">
          <fgColor rgb="00FADBD8"/>
          <bgColor rgb="00FADBD8"/>
        </patternFill>
      </fill>
    </dxf>
    <dxf>
      <font>
        <name val="Arial"/>
        <b val="1"/>
        <color rgb="00A04000"/>
        <sz val="9"/>
      </font>
      <fill>
        <patternFill patternType="solid">
          <fgColor rgb="00FDEBD0"/>
          <bgColor rgb="00FDEBD0"/>
        </patternFill>
      </fill>
    </dxf>
    <dxf>
      <font>
        <name val="Arial"/>
        <b val="1"/>
        <color rgb="001A5276"/>
        <sz val="9"/>
      </font>
      <fill>
        <patternFill patternType="solid">
          <fgColor rgb="00EBF5FB"/>
          <bgColor rgb="00EBF5FB"/>
        </patternFill>
      </fill>
    </dxf>
    <dxf>
      <font>
        <name val="Arial"/>
        <b val="1"/>
        <color rgb="007D6608"/>
        <sz val="9"/>
      </font>
      <fill>
        <patternFill patternType="solid">
          <fgColor rgb="00FEF9E7"/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2" customWidth="1" min="4" max="4"/>
    <col width="30" customWidth="1" min="5" max="5"/>
    <col width="22" customWidth="1" min="6" max="6"/>
    <col width="22" customWidth="1" min="7" max="7"/>
    <col width="26" customWidth="1" min="8" max="8"/>
    <col width="18" customWidth="1" min="9" max="9"/>
    <col width="26" customWidth="1" min="10" max="10"/>
    <col width="28" customWidth="1" min="11" max="11"/>
    <col width="36" customWidth="1" min="12" max="12"/>
    <col width="22" customWidth="1" min="13" max="13"/>
    <col width="22" customWidth="1" min="14" max="14"/>
    <col width="20" customWidth="1" min="15" max="15"/>
    <col width="20" customWidth="1" min="16" max="16"/>
    <col width="20" customWidth="1" min="17" max="17"/>
    <col width="14" customWidth="1" min="18" max="18"/>
    <col width="14" customWidth="1" min="19" max="19"/>
    <col width="14" customWidth="1" min="20" max="20"/>
    <col width="13" customWidth="1" min="21" max="21"/>
    <col width="26" customWidth="1" min="22" max="22"/>
    <col width="26" customWidth="1" min="23" max="23"/>
    <col width="22" customWidth="1" min="24" max="24"/>
    <col width="14" customWidth="1" min="25" max="25"/>
    <col width="28" customWidth="1" min="26" max="26"/>
    <col width="20" customWidth="1" min="27" max="27"/>
    <col width="30" customWidth="1" min="28" max="28"/>
    <col width="34" customWidth="1" min="29" max="29"/>
    <col width="12" customWidth="1" min="30" max="30"/>
  </cols>
  <sheetData>
    <row r="1" ht="36" customHeight="1">
      <c r="A1" s="1" t="inlineStr">
        <is>
          <t>SolidPro — Landing Pages Tracker  |  FILE 2 of 2</t>
        </is>
      </c>
    </row>
    <row r="2" ht="16" customHeight="1">
      <c r="A2" s="2" t="inlineStr">
        <is>
          <t>Asset ID format: CAMPID-LP-001  |  Always link Creative ID + Lead Magnet ID before publishing  |  * = Mandatory</t>
        </is>
      </c>
    </row>
    <row r="3" ht="32" customHeight="1">
      <c r="A3" s="3" t="inlineStr">
        <is>
          <t>S.No</t>
        </is>
      </c>
      <c r="B3" s="3" t="inlineStr">
        <is>
          <t>Campaign ID *</t>
        </is>
      </c>
      <c r="C3" s="3" t="inlineStr">
        <is>
          <t>Asset ID</t>
        </is>
      </c>
      <c r="D3" s="3" t="inlineStr">
        <is>
          <t>Vertical *</t>
        </is>
      </c>
      <c r="E3" s="3" t="inlineStr">
        <is>
          <t>Page Name / Title *</t>
        </is>
      </c>
      <c r="F3" s="3" t="inlineStr">
        <is>
          <t>Landing Page Type</t>
        </is>
      </c>
      <c r="G3" s="3" t="inlineStr">
        <is>
          <t>Page Goal</t>
        </is>
      </c>
      <c r="H3" s="3" t="inlineStr">
        <is>
          <t>Page URL / Slug</t>
        </is>
      </c>
      <c r="I3" s="3" t="inlineStr">
        <is>
          <t>CTA Text</t>
        </is>
      </c>
      <c r="J3" s="3" t="inlineStr">
        <is>
          <t>Form Fields Required</t>
        </is>
      </c>
      <c r="K3" s="3" t="inlineStr">
        <is>
          <t>SEO Title</t>
        </is>
      </c>
      <c r="L3" s="3" t="inlineStr">
        <is>
          <t>Meta Description</t>
        </is>
      </c>
      <c r="M3" s="3" t="inlineStr">
        <is>
          <t>Linked Creative ID</t>
        </is>
      </c>
      <c r="N3" s="3" t="inlineStr">
        <is>
          <t>Linked Lead Magnet ID</t>
        </is>
      </c>
      <c r="O3" s="3" t="inlineStr">
        <is>
          <t>Linked Email Seq ID</t>
        </is>
      </c>
      <c r="P3" s="3" t="inlineStr">
        <is>
          <t>Dev Owner (SS) *</t>
        </is>
      </c>
      <c r="Q3" s="3" t="inlineStr">
        <is>
          <t>Content Writer</t>
        </is>
      </c>
      <c r="R3" s="3" t="inlineStr">
        <is>
          <t>Brief Date</t>
        </is>
      </c>
      <c r="S3" s="3" t="inlineStr">
        <is>
          <t>Due Date *</t>
        </is>
      </c>
      <c r="T3" s="3" t="inlineStr">
        <is>
          <t>Pub / Go-Live Date *</t>
        </is>
      </c>
      <c r="U3" s="3" t="inlineStr">
        <is>
          <t>Priority</t>
        </is>
      </c>
      <c r="V3" s="3" t="inlineStr">
        <is>
          <t>Status</t>
        </is>
      </c>
      <c r="W3" s="3" t="inlineStr">
        <is>
          <t>Approved by Project Head</t>
        </is>
      </c>
      <c r="X3" s="3" t="inlineStr">
        <is>
          <t>Approved by Manager</t>
        </is>
      </c>
      <c r="Y3" s="3" t="inlineStr">
        <is>
          <t>A/B Test?</t>
        </is>
      </c>
      <c r="Z3" s="3" t="inlineStr">
        <is>
          <t>UTM Parameters</t>
        </is>
      </c>
      <c r="AA3" s="3" t="inlineStr">
        <is>
          <t>Conversion Goal</t>
        </is>
      </c>
      <c r="AB3" s="3" t="inlineStr">
        <is>
          <t>Final URL</t>
        </is>
      </c>
      <c r="AC3" s="3" t="inlineStr">
        <is>
          <t>Feedback / Notes</t>
        </is>
      </c>
      <c r="AD3" s="3" t="inlineStr">
        <is>
          <t>Archived?</t>
        </is>
      </c>
    </row>
    <row r="4" ht="22" customHeight="1">
      <c r="A4" s="4" t="n">
        <v>1</v>
      </c>
      <c r="B4" s="5" t="n"/>
      <c r="C4" s="6">
        <f>IF(B4="","",B4&amp;"-LP-"&amp;TEXT(1,"000"))</f>
        <v/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</row>
    <row r="5" ht="22" customHeight="1">
      <c r="A5" s="7" t="n">
        <v>2</v>
      </c>
      <c r="B5" s="8" t="n"/>
      <c r="C5" s="9">
        <f>IF(B5="","",B5&amp;"-LP-"&amp;TEXT(2,"000"))</f>
        <v/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</row>
    <row r="6" ht="22" customHeight="1">
      <c r="A6" s="4" t="n">
        <v>3</v>
      </c>
      <c r="B6" s="5" t="n"/>
      <c r="C6" s="6">
        <f>IF(B6="","",B6&amp;"-LP-"&amp;TEXT(3,"000"))</f>
        <v/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</row>
    <row r="7" ht="22" customHeight="1">
      <c r="A7" s="7" t="n">
        <v>4</v>
      </c>
      <c r="B7" s="8" t="n"/>
      <c r="C7" s="9">
        <f>IF(B7="","",B7&amp;"-LP-"&amp;TEXT(4,"000"))</f>
        <v/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</row>
    <row r="8" ht="22" customHeight="1">
      <c r="A8" s="4" t="n">
        <v>5</v>
      </c>
      <c r="B8" s="5" t="n"/>
      <c r="C8" s="6">
        <f>IF(B8="","",B8&amp;"-LP-"&amp;TEXT(5,"000"))</f>
        <v/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</row>
    <row r="9" ht="22" customHeight="1">
      <c r="A9" s="7" t="n">
        <v>6</v>
      </c>
      <c r="B9" s="8" t="n"/>
      <c r="C9" s="9">
        <f>IF(B9="","",B9&amp;"-LP-"&amp;TEXT(6,"000"))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</row>
    <row r="10" ht="22" customHeight="1">
      <c r="A10" s="4" t="n">
        <v>7</v>
      </c>
      <c r="B10" s="5" t="n"/>
      <c r="C10" s="6">
        <f>IF(B10="","",B10&amp;"-LP-"&amp;TEXT(7,"000"))</f>
        <v/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 ht="22" customHeight="1">
      <c r="A11" s="7" t="n">
        <v>8</v>
      </c>
      <c r="B11" s="8" t="n"/>
      <c r="C11" s="9">
        <f>IF(B11="","",B11&amp;"-LP-"&amp;TEXT(8,"000"))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</row>
    <row r="12" ht="22" customHeight="1">
      <c r="A12" s="4" t="n">
        <v>9</v>
      </c>
      <c r="B12" s="5" t="n"/>
      <c r="C12" s="6">
        <f>IF(B12="","",B12&amp;"-LP-"&amp;TEXT(9,"000"))</f>
        <v/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</row>
    <row r="13" ht="22" customHeight="1">
      <c r="A13" s="7" t="n">
        <v>10</v>
      </c>
      <c r="B13" s="8" t="n"/>
      <c r="C13" s="9">
        <f>IF(B13="","",B13&amp;"-LP-"&amp;TEXT(10,"000"))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</row>
    <row r="14" ht="22" customHeight="1">
      <c r="A14" s="4" t="n">
        <v>11</v>
      </c>
      <c r="B14" s="5" t="n"/>
      <c r="C14" s="6">
        <f>IF(B14="","",B14&amp;"-LP-"&amp;TEXT(11,"000"))</f>
        <v/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</row>
    <row r="15" ht="22" customHeight="1">
      <c r="A15" s="7" t="n">
        <v>12</v>
      </c>
      <c r="B15" s="8" t="n"/>
      <c r="C15" s="9">
        <f>IF(B15="","",B15&amp;"-LP-"&amp;TEXT(12,"000"))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</row>
    <row r="16" ht="22" customHeight="1">
      <c r="A16" s="4" t="n">
        <v>13</v>
      </c>
      <c r="B16" s="5" t="n"/>
      <c r="C16" s="6">
        <f>IF(B16="","",B16&amp;"-LP-"&amp;TEXT(13,"000"))</f>
        <v/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</row>
    <row r="17" ht="22" customHeight="1">
      <c r="A17" s="7" t="n">
        <v>14</v>
      </c>
      <c r="B17" s="8" t="n"/>
      <c r="C17" s="9">
        <f>IF(B17="","",B17&amp;"-LP-"&amp;TEXT(14,"000"))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</row>
    <row r="18" ht="22" customHeight="1">
      <c r="A18" s="4" t="n">
        <v>15</v>
      </c>
      <c r="B18" s="5" t="n"/>
      <c r="C18" s="6">
        <f>IF(B18="","",B18&amp;"-LP-"&amp;TEXT(15,"000"))</f>
        <v/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</row>
    <row r="19" ht="22" customHeight="1">
      <c r="A19" s="7" t="n">
        <v>16</v>
      </c>
      <c r="B19" s="8" t="n"/>
      <c r="C19" s="9">
        <f>IF(B19="","",B19&amp;"-LP-"&amp;TEXT(16,"000"))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</row>
    <row r="20" ht="22" customHeight="1">
      <c r="A20" s="4" t="n">
        <v>17</v>
      </c>
      <c r="B20" s="5" t="n"/>
      <c r="C20" s="6">
        <f>IF(B20="","",B20&amp;"-LP-"&amp;TEXT(17,"000"))</f>
        <v/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 ht="22" customHeight="1">
      <c r="A21" s="7" t="n">
        <v>18</v>
      </c>
      <c r="B21" s="8" t="n"/>
      <c r="C21" s="9">
        <f>IF(B21="","",B21&amp;"-LP-"&amp;TEXT(18,"000"))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</row>
    <row r="22" ht="22" customHeight="1">
      <c r="A22" s="4" t="n">
        <v>19</v>
      </c>
      <c r="B22" s="5" t="n"/>
      <c r="C22" s="6">
        <f>IF(B22="","",B22&amp;"-LP-"&amp;TEXT(19,"000"))</f>
        <v/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</row>
    <row r="23" ht="22" customHeight="1">
      <c r="A23" s="7" t="n">
        <v>20</v>
      </c>
      <c r="B23" s="8" t="n"/>
      <c r="C23" s="9">
        <f>IF(B23="","",B23&amp;"-LP-"&amp;TEXT(20,"000"))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</row>
    <row r="24" ht="22" customHeight="1">
      <c r="A24" s="4" t="n">
        <v>21</v>
      </c>
      <c r="B24" s="5" t="n"/>
      <c r="C24" s="6">
        <f>IF(B24="","",B24&amp;"-LP-"&amp;TEXT(21,"000"))</f>
        <v/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</row>
    <row r="25" ht="22" customHeight="1">
      <c r="A25" s="7" t="n">
        <v>22</v>
      </c>
      <c r="B25" s="8" t="n"/>
      <c r="C25" s="9">
        <f>IF(B25="","",B25&amp;"-LP-"&amp;TEXT(22,"000"))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</row>
    <row r="26" ht="22" customHeight="1">
      <c r="A26" s="4" t="n">
        <v>23</v>
      </c>
      <c r="B26" s="5" t="n"/>
      <c r="C26" s="6">
        <f>IF(B26="","",B26&amp;"-LP-"&amp;TEXT(23,"000"))</f>
        <v/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</row>
    <row r="27" ht="22" customHeight="1">
      <c r="A27" s="7" t="n">
        <v>24</v>
      </c>
      <c r="B27" s="8" t="n"/>
      <c r="C27" s="9">
        <f>IF(B27="","",B27&amp;"-LP-"&amp;TEXT(24,"000"))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</row>
    <row r="28" ht="22" customHeight="1">
      <c r="A28" s="4" t="n">
        <v>25</v>
      </c>
      <c r="B28" s="5" t="n"/>
      <c r="C28" s="6">
        <f>IF(B28="","",B28&amp;"-LP-"&amp;TEXT(25,"000"))</f>
        <v/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</row>
    <row r="29" ht="22" customHeight="1">
      <c r="A29" s="7" t="n">
        <v>26</v>
      </c>
      <c r="B29" s="8" t="n"/>
      <c r="C29" s="9">
        <f>IF(B29="","",B29&amp;"-LP-"&amp;TEXT(26,"000"))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</row>
    <row r="30" ht="22" customHeight="1">
      <c r="A30" s="4" t="n">
        <v>27</v>
      </c>
      <c r="B30" s="5" t="n"/>
      <c r="C30" s="6">
        <f>IF(B30="","",B30&amp;"-LP-"&amp;TEXT(27,"000"))</f>
        <v/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</row>
    <row r="31" ht="22" customHeight="1">
      <c r="A31" s="7" t="n">
        <v>28</v>
      </c>
      <c r="B31" s="8" t="n"/>
      <c r="C31" s="9">
        <f>IF(B31="","",B31&amp;"-LP-"&amp;TEXT(28,"000"))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</row>
    <row r="32" ht="22" customHeight="1">
      <c r="A32" s="4" t="n">
        <v>29</v>
      </c>
      <c r="B32" s="5" t="n"/>
      <c r="C32" s="6">
        <f>IF(B32="","",B32&amp;"-LP-"&amp;TEXT(29,"000"))</f>
        <v/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</row>
    <row r="33" ht="22" customHeight="1">
      <c r="A33" s="7" t="n">
        <v>30</v>
      </c>
      <c r="B33" s="8" t="n"/>
      <c r="C33" s="9">
        <f>IF(B33="","",B33&amp;"-LP-"&amp;TEXT(30,"000"))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</row>
    <row r="34" ht="22" customHeight="1">
      <c r="A34" s="4" t="n">
        <v>31</v>
      </c>
      <c r="B34" s="5" t="n"/>
      <c r="C34" s="6">
        <f>IF(B34="","",B34&amp;"-LP-"&amp;TEXT(31,"000"))</f>
        <v/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</row>
    <row r="35" ht="22" customHeight="1">
      <c r="A35" s="7" t="n">
        <v>32</v>
      </c>
      <c r="B35" s="8" t="n"/>
      <c r="C35" s="9">
        <f>IF(B35="","",B35&amp;"-LP-"&amp;TEXT(32,"000"))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</row>
    <row r="36" ht="22" customHeight="1">
      <c r="A36" s="4" t="n">
        <v>33</v>
      </c>
      <c r="B36" s="5" t="n"/>
      <c r="C36" s="6">
        <f>IF(B36="","",B36&amp;"-LP-"&amp;TEXT(33,"000"))</f>
        <v/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</row>
    <row r="37" ht="22" customHeight="1">
      <c r="A37" s="7" t="n">
        <v>34</v>
      </c>
      <c r="B37" s="8" t="n"/>
      <c r="C37" s="9">
        <f>IF(B37="","",B37&amp;"-LP-"&amp;TEXT(34,"000"))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</row>
    <row r="38" ht="22" customHeight="1">
      <c r="A38" s="4" t="n">
        <v>35</v>
      </c>
      <c r="B38" s="5" t="n"/>
      <c r="C38" s="6">
        <f>IF(B38="","",B38&amp;"-LP-"&amp;TEXT(35,"000"))</f>
        <v/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</row>
    <row r="39" ht="22" customHeight="1">
      <c r="A39" s="7" t="n">
        <v>36</v>
      </c>
      <c r="B39" s="8" t="n"/>
      <c r="C39" s="9">
        <f>IF(B39="","",B39&amp;"-LP-"&amp;TEXT(36,"000"))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</row>
    <row r="40" ht="22" customHeight="1">
      <c r="A40" s="4" t="n">
        <v>37</v>
      </c>
      <c r="B40" s="5" t="n"/>
      <c r="C40" s="6">
        <f>IF(B40="","",B40&amp;"-LP-"&amp;TEXT(37,"000"))</f>
        <v/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</row>
    <row r="41" ht="22" customHeight="1">
      <c r="A41" s="7" t="n">
        <v>38</v>
      </c>
      <c r="B41" s="8" t="n"/>
      <c r="C41" s="9">
        <f>IF(B41="","",B41&amp;"-LP-"&amp;TEXT(38,"000"))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</row>
    <row r="42" ht="22" customHeight="1">
      <c r="A42" s="4" t="n">
        <v>39</v>
      </c>
      <c r="B42" s="5" t="n"/>
      <c r="C42" s="6">
        <f>IF(B42="","",B42&amp;"-LP-"&amp;TEXT(39,"000"))</f>
        <v/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</row>
    <row r="43" ht="22" customHeight="1">
      <c r="A43" s="7" t="n">
        <v>40</v>
      </c>
      <c r="B43" s="8" t="n"/>
      <c r="C43" s="9">
        <f>IF(B43="","",B43&amp;"-LP-"&amp;TEXT(40,"000"))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</row>
    <row r="44" ht="22" customHeight="1">
      <c r="A44" s="4" t="n">
        <v>41</v>
      </c>
      <c r="B44" s="5" t="n"/>
      <c r="C44" s="6">
        <f>IF(B44="","",B44&amp;"-LP-"&amp;TEXT(41,"000"))</f>
        <v/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</row>
    <row r="45" ht="22" customHeight="1">
      <c r="A45" s="7" t="n">
        <v>42</v>
      </c>
      <c r="B45" s="8" t="n"/>
      <c r="C45" s="9">
        <f>IF(B45="","",B45&amp;"-LP-"&amp;TEXT(42,"000"))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</row>
    <row r="46" ht="22" customHeight="1">
      <c r="A46" s="4" t="n">
        <v>43</v>
      </c>
      <c r="B46" s="5" t="n"/>
      <c r="C46" s="6">
        <f>IF(B46="","",B46&amp;"-LP-"&amp;TEXT(43,"000"))</f>
        <v/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</row>
    <row r="47" ht="22" customHeight="1">
      <c r="A47" s="7" t="n">
        <v>44</v>
      </c>
      <c r="B47" s="8" t="n"/>
      <c r="C47" s="9">
        <f>IF(B47="","",B47&amp;"-LP-"&amp;TEXT(44,"000"))</f>
        <v/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</row>
    <row r="48" ht="22" customHeight="1">
      <c r="A48" s="4" t="n">
        <v>45</v>
      </c>
      <c r="B48" s="5" t="n"/>
      <c r="C48" s="6">
        <f>IF(B48="","",B48&amp;"-LP-"&amp;TEXT(45,"000"))</f>
        <v/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</row>
    <row r="49" ht="22" customHeight="1">
      <c r="A49" s="7" t="n">
        <v>46</v>
      </c>
      <c r="B49" s="8" t="n"/>
      <c r="C49" s="9">
        <f>IF(B49="","",B49&amp;"-LP-"&amp;TEXT(46,"000"))</f>
        <v/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</row>
    <row r="50" ht="22" customHeight="1">
      <c r="A50" s="4" t="n">
        <v>47</v>
      </c>
      <c r="B50" s="5" t="n"/>
      <c r="C50" s="6">
        <f>IF(B50="","",B50&amp;"-LP-"&amp;TEXT(47,"000"))</f>
        <v/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</row>
    <row r="51" ht="22" customHeight="1">
      <c r="A51" s="7" t="n">
        <v>48</v>
      </c>
      <c r="B51" s="8" t="n"/>
      <c r="C51" s="9">
        <f>IF(B51="","",B51&amp;"-LP-"&amp;TEXT(48,"000"))</f>
        <v/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</row>
    <row r="52" ht="22" customHeight="1">
      <c r="A52" s="4" t="n">
        <v>49</v>
      </c>
      <c r="B52" s="5" t="n"/>
      <c r="C52" s="6">
        <f>IF(B52="","",B52&amp;"-LP-"&amp;TEXT(49,"000"))</f>
        <v/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</row>
    <row r="53" ht="22" customHeight="1">
      <c r="A53" s="7" t="n">
        <v>50</v>
      </c>
      <c r="B53" s="8" t="n"/>
      <c r="C53" s="9">
        <f>IF(B53="","",B53&amp;"-LP-"&amp;TEXT(50,"000"))</f>
        <v/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</row>
    <row r="54" ht="22" customHeight="1">
      <c r="A54" s="4" t="n">
        <v>51</v>
      </c>
      <c r="B54" s="5" t="n"/>
      <c r="C54" s="6">
        <f>IF(B54="","",B54&amp;"-LP-"&amp;TEXT(51,"000"))</f>
        <v/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</row>
    <row r="55" ht="22" customHeight="1">
      <c r="A55" s="7" t="n">
        <v>52</v>
      </c>
      <c r="B55" s="8" t="n"/>
      <c r="C55" s="9">
        <f>IF(B55="","",B55&amp;"-LP-"&amp;TEXT(52,"000"))</f>
        <v/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</row>
    <row r="56" ht="22" customHeight="1">
      <c r="A56" s="4" t="n">
        <v>53</v>
      </c>
      <c r="B56" s="5" t="n"/>
      <c r="C56" s="6">
        <f>IF(B56="","",B56&amp;"-LP-"&amp;TEXT(53,"000"))</f>
        <v/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</row>
    <row r="57" ht="22" customHeight="1">
      <c r="A57" s="7" t="n">
        <v>54</v>
      </c>
      <c r="B57" s="8" t="n"/>
      <c r="C57" s="9">
        <f>IF(B57="","",B57&amp;"-LP-"&amp;TEXT(54,"000"))</f>
        <v/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</row>
    <row r="58" ht="22" customHeight="1">
      <c r="A58" s="4" t="n">
        <v>55</v>
      </c>
      <c r="B58" s="5" t="n"/>
      <c r="C58" s="6">
        <f>IF(B58="","",B58&amp;"-LP-"&amp;TEXT(55,"000"))</f>
        <v/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</row>
    <row r="59" ht="22" customHeight="1">
      <c r="A59" s="7" t="n">
        <v>56</v>
      </c>
      <c r="B59" s="8" t="n"/>
      <c r="C59" s="9">
        <f>IF(B59="","",B59&amp;"-LP-"&amp;TEXT(56,"000"))</f>
        <v/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</row>
    <row r="60" ht="22" customHeight="1">
      <c r="A60" s="4" t="n">
        <v>57</v>
      </c>
      <c r="B60" s="5" t="n"/>
      <c r="C60" s="6">
        <f>IF(B60="","",B60&amp;"-LP-"&amp;TEXT(57,"000"))</f>
        <v/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</row>
    <row r="61" ht="22" customHeight="1">
      <c r="A61" s="7" t="n">
        <v>58</v>
      </c>
      <c r="B61" s="8" t="n"/>
      <c r="C61" s="9">
        <f>IF(B61="","",B61&amp;"-LP-"&amp;TEXT(58,"000"))</f>
        <v/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</row>
    <row r="62" ht="22" customHeight="1">
      <c r="A62" s="4" t="n">
        <v>59</v>
      </c>
      <c r="B62" s="5" t="n"/>
      <c r="C62" s="6">
        <f>IF(B62="","",B62&amp;"-LP-"&amp;TEXT(59,"000"))</f>
        <v/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</row>
    <row r="63" ht="22" customHeight="1">
      <c r="A63" s="7" t="n">
        <v>60</v>
      </c>
      <c r="B63" s="8" t="n"/>
      <c r="C63" s="9">
        <f>IF(B63="","",B63&amp;"-LP-"&amp;TEXT(60,"000"))</f>
        <v/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</row>
    <row r="64" ht="22" customHeight="1">
      <c r="A64" s="4" t="n">
        <v>61</v>
      </c>
      <c r="B64" s="5" t="n"/>
      <c r="C64" s="6">
        <f>IF(B64="","",B64&amp;"-LP-"&amp;TEXT(61,"000"))</f>
        <v/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</row>
    <row r="65" ht="22" customHeight="1">
      <c r="A65" s="7" t="n">
        <v>62</v>
      </c>
      <c r="B65" s="8" t="n"/>
      <c r="C65" s="9">
        <f>IF(B65="","",B65&amp;"-LP-"&amp;TEXT(62,"000"))</f>
        <v/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</row>
    <row r="66" ht="22" customHeight="1">
      <c r="A66" s="4" t="n">
        <v>63</v>
      </c>
      <c r="B66" s="5" t="n"/>
      <c r="C66" s="6">
        <f>IF(B66="","",B66&amp;"-LP-"&amp;TEXT(63,"000"))</f>
        <v/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</row>
    <row r="67" ht="22" customHeight="1">
      <c r="A67" s="7" t="n">
        <v>64</v>
      </c>
      <c r="B67" s="8" t="n"/>
      <c r="C67" s="9">
        <f>IF(B67="","",B67&amp;"-LP-"&amp;TEXT(64,"000"))</f>
        <v/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</row>
    <row r="68" ht="22" customHeight="1">
      <c r="A68" s="4" t="n">
        <v>65</v>
      </c>
      <c r="B68" s="5" t="n"/>
      <c r="C68" s="6">
        <f>IF(B68="","",B68&amp;"-LP-"&amp;TEXT(65,"000"))</f>
        <v/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</row>
    <row r="69" ht="22" customHeight="1">
      <c r="A69" s="7" t="n">
        <v>66</v>
      </c>
      <c r="B69" s="8" t="n"/>
      <c r="C69" s="9">
        <f>IF(B69="","",B69&amp;"-LP-"&amp;TEXT(66,"000"))</f>
        <v/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</row>
    <row r="70" ht="22" customHeight="1">
      <c r="A70" s="4" t="n">
        <v>67</v>
      </c>
      <c r="B70" s="5" t="n"/>
      <c r="C70" s="6">
        <f>IF(B70="","",B70&amp;"-LP-"&amp;TEXT(67,"000"))</f>
        <v/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</row>
    <row r="71" ht="22" customHeight="1">
      <c r="A71" s="7" t="n">
        <v>68</v>
      </c>
      <c r="B71" s="8" t="n"/>
      <c r="C71" s="9">
        <f>IF(B71="","",B71&amp;"-LP-"&amp;TEXT(68,"000"))</f>
        <v/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</row>
    <row r="72" ht="22" customHeight="1">
      <c r="A72" s="4" t="n">
        <v>69</v>
      </c>
      <c r="B72" s="5" t="n"/>
      <c r="C72" s="6">
        <f>IF(B72="","",B72&amp;"-LP-"&amp;TEXT(69,"000"))</f>
        <v/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</row>
    <row r="73" ht="22" customHeight="1">
      <c r="A73" s="7" t="n">
        <v>70</v>
      </c>
      <c r="B73" s="8" t="n"/>
      <c r="C73" s="9">
        <f>IF(B73="","",B73&amp;"-LP-"&amp;TEXT(70,"000"))</f>
        <v/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</row>
    <row r="74" ht="22" customHeight="1">
      <c r="A74" s="4" t="n">
        <v>71</v>
      </c>
      <c r="B74" s="5" t="n"/>
      <c r="C74" s="6">
        <f>IF(B74="","",B74&amp;"-LP-"&amp;TEXT(71,"000"))</f>
        <v/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</row>
    <row r="75" ht="22" customHeight="1">
      <c r="A75" s="7" t="n">
        <v>72</v>
      </c>
      <c r="B75" s="8" t="n"/>
      <c r="C75" s="9">
        <f>IF(B75="","",B75&amp;"-LP-"&amp;TEXT(72,"000"))</f>
        <v/>
      </c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</row>
    <row r="76" ht="22" customHeight="1">
      <c r="A76" s="4" t="n">
        <v>73</v>
      </c>
      <c r="B76" s="5" t="n"/>
      <c r="C76" s="6">
        <f>IF(B76="","",B76&amp;"-LP-"&amp;TEXT(73,"000"))</f>
        <v/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</row>
    <row r="77" ht="22" customHeight="1">
      <c r="A77" s="7" t="n">
        <v>74</v>
      </c>
      <c r="B77" s="8" t="n"/>
      <c r="C77" s="9">
        <f>IF(B77="","",B77&amp;"-LP-"&amp;TEXT(74,"000"))</f>
        <v/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</row>
    <row r="78" ht="22" customHeight="1">
      <c r="A78" s="4" t="n">
        <v>75</v>
      </c>
      <c r="B78" s="5" t="n"/>
      <c r="C78" s="6">
        <f>IF(B78="","",B78&amp;"-LP-"&amp;TEXT(75,"000"))</f>
        <v/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</row>
    <row r="79" ht="22" customHeight="1">
      <c r="A79" s="7" t="n">
        <v>76</v>
      </c>
      <c r="B79" s="8" t="n"/>
      <c r="C79" s="9">
        <f>IF(B79="","",B79&amp;"-LP-"&amp;TEXT(76,"000"))</f>
        <v/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</row>
    <row r="80" ht="22" customHeight="1">
      <c r="A80" s="4" t="n">
        <v>77</v>
      </c>
      <c r="B80" s="5" t="n"/>
      <c r="C80" s="6">
        <f>IF(B80="","",B80&amp;"-LP-"&amp;TEXT(77,"000"))</f>
        <v/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</row>
    <row r="81" ht="22" customHeight="1">
      <c r="A81" s="7" t="n">
        <v>78</v>
      </c>
      <c r="B81" s="8" t="n"/>
      <c r="C81" s="9">
        <f>IF(B81="","",B81&amp;"-LP-"&amp;TEXT(78,"000"))</f>
        <v/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</row>
    <row r="82" ht="22" customHeight="1">
      <c r="A82" s="4" t="n">
        <v>79</v>
      </c>
      <c r="B82" s="5" t="n"/>
      <c r="C82" s="6">
        <f>IF(B82="","",B82&amp;"-LP-"&amp;TEXT(79,"000"))</f>
        <v/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</row>
    <row r="83" ht="22" customHeight="1">
      <c r="A83" s="7" t="n">
        <v>80</v>
      </c>
      <c r="B83" s="8" t="n"/>
      <c r="C83" s="9">
        <f>IF(B83="","",B83&amp;"-LP-"&amp;TEXT(80,"000"))</f>
        <v/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</row>
    <row r="84" ht="22" customHeight="1">
      <c r="A84" s="4" t="n">
        <v>81</v>
      </c>
      <c r="B84" s="5" t="n"/>
      <c r="C84" s="6">
        <f>IF(B84="","",B84&amp;"-LP-"&amp;TEXT(81,"000"))</f>
        <v/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</row>
    <row r="85" ht="22" customHeight="1">
      <c r="A85" s="7" t="n">
        <v>82</v>
      </c>
      <c r="B85" s="8" t="n"/>
      <c r="C85" s="9">
        <f>IF(B85="","",B85&amp;"-LP-"&amp;TEXT(82,"000"))</f>
        <v/>
      </c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</row>
    <row r="86" ht="22" customHeight="1">
      <c r="A86" s="4" t="n">
        <v>83</v>
      </c>
      <c r="B86" s="5" t="n"/>
      <c r="C86" s="6">
        <f>IF(B86="","",B86&amp;"-LP-"&amp;TEXT(83,"000"))</f>
        <v/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</row>
    <row r="87" ht="22" customHeight="1">
      <c r="A87" s="7" t="n">
        <v>84</v>
      </c>
      <c r="B87" s="8" t="n"/>
      <c r="C87" s="9">
        <f>IF(B87="","",B87&amp;"-LP-"&amp;TEXT(84,"000"))</f>
        <v/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</row>
    <row r="88" ht="22" customHeight="1">
      <c r="A88" s="4" t="n">
        <v>85</v>
      </c>
      <c r="B88" s="5" t="n"/>
      <c r="C88" s="6">
        <f>IF(B88="","",B88&amp;"-LP-"&amp;TEXT(85,"000"))</f>
        <v/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</row>
    <row r="89" ht="22" customHeight="1">
      <c r="A89" s="7" t="n">
        <v>86</v>
      </c>
      <c r="B89" s="8" t="n"/>
      <c r="C89" s="9">
        <f>IF(B89="","",B89&amp;"-LP-"&amp;TEXT(86,"000"))</f>
        <v/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</row>
    <row r="90" ht="22" customHeight="1">
      <c r="A90" s="4" t="n">
        <v>87</v>
      </c>
      <c r="B90" s="5" t="n"/>
      <c r="C90" s="6">
        <f>IF(B90="","",B90&amp;"-LP-"&amp;TEXT(87,"000"))</f>
        <v/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</row>
    <row r="91" ht="22" customHeight="1">
      <c r="A91" s="7" t="n">
        <v>88</v>
      </c>
      <c r="B91" s="8" t="n"/>
      <c r="C91" s="9">
        <f>IF(B91="","",B91&amp;"-LP-"&amp;TEXT(88,"000"))</f>
        <v/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</row>
    <row r="92" ht="22" customHeight="1">
      <c r="A92" s="4" t="n">
        <v>89</v>
      </c>
      <c r="B92" s="5" t="n"/>
      <c r="C92" s="6">
        <f>IF(B92="","",B92&amp;"-LP-"&amp;TEXT(89,"000"))</f>
        <v/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</row>
    <row r="93" ht="22" customHeight="1">
      <c r="A93" s="7" t="n">
        <v>90</v>
      </c>
      <c r="B93" s="8" t="n"/>
      <c r="C93" s="9">
        <f>IF(B93="","",B93&amp;"-LP-"&amp;TEXT(90,"000"))</f>
        <v/>
      </c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</row>
    <row r="94" ht="22" customHeight="1">
      <c r="A94" s="4" t="n">
        <v>91</v>
      </c>
      <c r="B94" s="5" t="n"/>
      <c r="C94" s="6">
        <f>IF(B94="","",B94&amp;"-LP-"&amp;TEXT(91,"000"))</f>
        <v/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</row>
    <row r="95" ht="22" customHeight="1">
      <c r="A95" s="7" t="n">
        <v>92</v>
      </c>
      <c r="B95" s="8" t="n"/>
      <c r="C95" s="9">
        <f>IF(B95="","",B95&amp;"-LP-"&amp;TEXT(92,"000"))</f>
        <v/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</row>
    <row r="96" ht="22" customHeight="1">
      <c r="A96" s="4" t="n">
        <v>93</v>
      </c>
      <c r="B96" s="5" t="n"/>
      <c r="C96" s="6">
        <f>IF(B96="","",B96&amp;"-LP-"&amp;TEXT(93,"000"))</f>
        <v/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</row>
    <row r="97" ht="22" customHeight="1">
      <c r="A97" s="7" t="n">
        <v>94</v>
      </c>
      <c r="B97" s="8" t="n"/>
      <c r="C97" s="9">
        <f>IF(B97="","",B97&amp;"-LP-"&amp;TEXT(94,"000"))</f>
        <v/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</row>
    <row r="98" ht="22" customHeight="1">
      <c r="A98" s="4" t="n">
        <v>95</v>
      </c>
      <c r="B98" s="5" t="n"/>
      <c r="C98" s="6">
        <f>IF(B98="","",B98&amp;"-LP-"&amp;TEXT(95,"000"))</f>
        <v/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</row>
    <row r="99" ht="22" customHeight="1">
      <c r="A99" s="7" t="n">
        <v>96</v>
      </c>
      <c r="B99" s="8" t="n"/>
      <c r="C99" s="9">
        <f>IF(B99="","",B99&amp;"-LP-"&amp;TEXT(96,"000"))</f>
        <v/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</row>
    <row r="100" ht="22" customHeight="1">
      <c r="A100" s="4" t="n">
        <v>97</v>
      </c>
      <c r="B100" s="5" t="n"/>
      <c r="C100" s="6">
        <f>IF(B100="","",B100&amp;"-LP-"&amp;TEXT(97,"000"))</f>
        <v/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</row>
    <row r="101" ht="22" customHeight="1">
      <c r="A101" s="7" t="n">
        <v>98</v>
      </c>
      <c r="B101" s="8" t="n"/>
      <c r="C101" s="9">
        <f>IF(B101="","",B101&amp;"-LP-"&amp;TEXT(98,"000"))</f>
        <v/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</row>
    <row r="102" ht="22" customHeight="1">
      <c r="A102" s="4" t="n">
        <v>99</v>
      </c>
      <c r="B102" s="5" t="n"/>
      <c r="C102" s="6">
        <f>IF(B102="","",B102&amp;"-LP-"&amp;TEXT(99,"000"))</f>
        <v/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</row>
    <row r="103" ht="22" customHeight="1">
      <c r="A103" s="7" t="n">
        <v>100</v>
      </c>
      <c r="B103" s="8" t="n"/>
      <c r="C103" s="9">
        <f>IF(B103="","",B103&amp;"-LP-"&amp;TEXT(100,"000"))</f>
        <v/>
      </c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</row>
  </sheetData>
  <mergeCells count="2">
    <mergeCell ref="A2:AD2"/>
    <mergeCell ref="A1:AD1"/>
  </mergeCells>
  <conditionalFormatting sqref="V4:V103">
    <cfRule type="containsText" priority="1" operator="containsText" dxfId="0" text="Active">
      <formula>NOT(ISERROR(SEARCH("Active",V4)))</formula>
    </cfRule>
    <cfRule type="containsText" priority="2" operator="containsText" dxfId="0" text="Completed">
      <formula>NOT(ISERROR(SEARCH("Completed",V4)))</formula>
    </cfRule>
    <cfRule type="containsText" priority="3" operator="containsText" dxfId="0" text="Approved">
      <formula>NOT(ISERROR(SEARCH("Approved",V4)))</formula>
    </cfRule>
    <cfRule type="containsText" priority="4" operator="containsText" dxfId="0" text="Published">
      <formula>NOT(ISERROR(SEARCH("Published",V4)))</formula>
    </cfRule>
    <cfRule type="containsText" priority="5" operator="containsText" dxfId="0" text="Live">
      <formula>NOT(ISERROR(SEARCH("Live",V4)))</formula>
    </cfRule>
    <cfRule type="containsText" priority="6" operator="containsText" dxfId="0" text="Optimised">
      <formula>NOT(ISERROR(SEARCH("Optimised",V4)))</formula>
    </cfRule>
    <cfRule type="containsText" priority="7" operator="containsText" dxfId="1" text="Cancelled">
      <formula>NOT(ISERROR(SEARCH("Cancelled",V4)))</formula>
    </cfRule>
    <cfRule type="containsText" priority="8" operator="containsText" dxfId="1" text="Rejected">
      <formula>NOT(ISERROR(SEARCH("Rejected",V4)))</formula>
    </cfRule>
    <cfRule type="containsText" priority="9" operator="containsText" dxfId="2" text="On Hold">
      <formula>NOT(ISERROR(SEARCH("On Hold",V4)))</formula>
    </cfRule>
    <cfRule type="containsText" priority="10" operator="containsText" dxfId="2" text="Paused">
      <formula>NOT(ISERROR(SEARCH("Paused",V4)))</formula>
    </cfRule>
    <cfRule type="containsText" priority="11" operator="containsText" dxfId="2" text="Revision">
      <formula>NOT(ISERROR(SEARCH("Revision",V4)))</formula>
    </cfRule>
    <cfRule type="containsText" priority="12" operator="containsText" dxfId="2" text="Changes">
      <formula>NOT(ISERROR(SEARCH("Changes",V4)))</formula>
    </cfRule>
    <cfRule type="containsText" priority="13" operator="containsText" dxfId="3" text="Planning">
      <formula>NOT(ISERROR(SEARCH("Planning",V4)))</formula>
    </cfRule>
    <cfRule type="containsText" priority="14" operator="containsText" dxfId="3" text="Briefed">
      <formula>NOT(ISERROR(SEARCH("Briefed",V4)))</formula>
    </cfRule>
    <cfRule type="containsText" priority="15" operator="containsText" dxfId="4" text="Progress">
      <formula>NOT(ISERROR(SEARCH("Progress",V4)))</formula>
    </cfRule>
  </conditionalFormatting>
  <conditionalFormatting sqref="W4:W103">
    <cfRule type="containsText" priority="16" operator="containsText" dxfId="0" text="Approved">
      <formula>NOT(ISERROR(SEARCH("Approved",W4)))</formula>
    </cfRule>
    <cfRule type="containsText" priority="17" operator="containsText" dxfId="1" text="Rejected">
      <formula>NOT(ISERROR(SEARCH("Rejected",W4)))</formula>
    </cfRule>
    <cfRule type="containsText" priority="18" operator="containsText" dxfId="2" text="Changes">
      <formula>NOT(ISERROR(SEARCH("Changes",W4)))</formula>
    </cfRule>
    <cfRule type="containsText" priority="19" operator="containsText" dxfId="3" text="Pending">
      <formula>NOT(ISERROR(SEARCH("Pending",W4)))</formula>
    </cfRule>
  </conditionalFormatting>
  <conditionalFormatting sqref="X4:X103">
    <cfRule type="containsText" priority="20" operator="containsText" dxfId="0" text="Approved">
      <formula>NOT(ISERROR(SEARCH("Approved",X4)))</formula>
    </cfRule>
    <cfRule type="containsText" priority="21" operator="containsText" dxfId="1" text="Rejected">
      <formula>NOT(ISERROR(SEARCH("Rejected",X4)))</formula>
    </cfRule>
    <cfRule type="containsText" priority="22" operator="containsText" dxfId="2" text="Changes">
      <formula>NOT(ISERROR(SEARCH("Changes",X4)))</formula>
    </cfRule>
    <cfRule type="containsText" priority="23" operator="containsText" dxfId="3" text="Pending">
      <formula>NOT(ISERROR(SEARCH("Pending",X4)))</formula>
    </cfRule>
  </conditionalFormatting>
  <conditionalFormatting sqref="U4:U103">
    <cfRule type="containsText" priority="24" operator="containsText" dxfId="1" text="Critical">
      <formula>NOT(ISERROR(SEARCH("Critical",U4)))</formula>
    </cfRule>
    <cfRule type="containsText" priority="25" operator="containsText" dxfId="2" text="High">
      <formula>NOT(ISERROR(SEARCH("High",U4)))</formula>
    </cfRule>
    <cfRule type="containsText" priority="26" operator="containsText" dxfId="4" text="Medium">
      <formula>NOT(ISERROR(SEARCH("Medium",U4)))</formula>
    </cfRule>
    <cfRule type="containsText" priority="27" operator="containsText" dxfId="0" text="Low">
      <formula>NOT(ISERROR(SEARCH("Low",U4)))</formula>
    </cfRule>
  </conditionalFormatting>
  <dataValidations count="13">
    <dataValidation sqref="D4:D103" showDropDown="0" showInputMessage="1" showErrorMessage="1" allowBlank="1" errorTitle="Invalid" error="Select from dropdown." promptTitle="Vertical" prompt="Select vertical." type="list">
      <formula1>"Digital Transformation,Industrial Goods &amp; Consumer Products,Structural Engineering,MedTech,Energy &amp; Utilities,Sustainability,BFSI,Product Innovation,SolidPro AI,Other"</formula1>
    </dataValidation>
    <dataValidation sqref="U4:U103" showDropDown="0" showInputMessage="1" showErrorMessage="1" allowBlank="1" errorTitle="Invalid" error="Select from dropdown." promptTitle="Priority" prompt="Urgency level." type="list">
      <formula1>"🔴 Critical,🟠 High,🟡 Medium,🟢 Low"</formula1>
    </dataValidation>
    <dataValidation sqref="V4:V103" showDropDown="0" showInputMessage="1" showErrorMessage="1" allowBlank="1" errorTitle="Invalid" error="Select from dropdown." promptTitle="Status" prompt="Workflow status." type="list">
      <formula1>"📋 Briefed,✍ In Progress,🔁 In Revision,✅ Approved by Project Head,✅ Approved by Manager,🚀 Published / Live,⏸ On Hold,❌ Cancelled"</formula1>
    </dataValidation>
    <dataValidation sqref="W4:W103" showDropDown="0" showInputMessage="1" showErrorMessage="1" allowBlank="1" errorTitle="Invalid" error="Select from dropdown." promptTitle="PH Approval" prompt="Project Head approval." type="list">
      <formula1>"⏳ Pending,✅ Approved,🔁 Changes Requested,❌ Rejected"</formula1>
    </dataValidation>
    <dataValidation sqref="X4:X103" showDropDown="0" showInputMessage="1" showErrorMessage="1" allowBlank="1" errorTitle="Invalid" error="Select from dropdown." promptTitle="Mgr Approval" prompt="Manager approval." type="list">
      <formula1>"⏳ Pending,✅ Approved,🔁 Changes Requested,❌ Rejected"</formula1>
    </dataValidation>
    <dataValidation sqref="AD4:AD103" showDropDown="0" showInputMessage="1" showErrorMessage="1" allowBlank="1" errorTitle="Invalid" error="Select from dropdown." promptTitle="Archived" prompt="Mark Yes when done." type="list">
      <formula1>"No,Yes"</formula1>
    </dataValidation>
    <dataValidation sqref="R4:R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S4:S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T4:T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F4:F103" showDropDown="0" showInputMessage="1" showErrorMessage="1" allowBlank="1" errorTitle="Invalid" error="Select from dropdown." promptTitle="LP Type" prompt="Type of landing page." type="list">
      <formula1>"Lead Gen,Campaign,Product / Service,Event,Webinar,Resource Download,Assessment,Free Trial,Contact,Other"</formula1>
    </dataValidation>
    <dataValidation sqref="G4:G103" showDropDown="0" showInputMessage="1" showErrorMessage="1" allowBlank="1" errorTitle="Invalid" error="Select from dropdown." promptTitle="Page Goal" prompt="Primary conversion goal." type="list">
      <formula1>"Lead Capture,Demo Request,Content Download,Event Registration,Product Enquiry,Newsletter Signup,Other"</formula1>
    </dataValidation>
    <dataValidation sqref="Y4:Y103" showDropDown="0" showInputMessage="1" showErrorMessage="1" allowBlank="1" errorTitle="Invalid" error="Select from dropdown." promptTitle="A/B Test" prompt="A/B test status." type="list">
      <formula1>"No,Yes – Planned,Yes – Active,Yes – Concluded"</formula1>
    </dataValidation>
    <dataValidation sqref="AA4:AA103" showDropDown="0" showInputMessage="1" showErrorMessage="1" allowBlank="1" errorTitle="Invalid" error="Select from dropdown." promptTitle="Conversion Goal" prompt="What counts as a conversion." type="list">
      <formula1>"Form Fill,CTA Click,Demo Booked,Download,Registration,Purchase,Other"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0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2" customWidth="1" min="4" max="4"/>
    <col width="34" customWidth="1" min="5" max="5"/>
    <col width="22" customWidth="1" min="6" max="6"/>
    <col width="34" customWidth="1" min="7" max="7"/>
    <col width="28" customWidth="1" min="8" max="8"/>
    <col width="18" customWidth="1" min="9" max="9"/>
    <col width="22" customWidth="1" min="10" max="10"/>
    <col width="18" customWidth="1" min="11" max="11"/>
    <col width="18" customWidth="1" min="12" max="12"/>
    <col width="20" customWidth="1" min="13" max="13"/>
    <col width="22" customWidth="1" min="14" max="14"/>
    <col width="30" customWidth="1" min="15" max="15"/>
    <col width="22" customWidth="1" min="16" max="16"/>
    <col width="20" customWidth="1" min="17" max="17"/>
    <col width="14" customWidth="1" min="18" max="18"/>
    <col width="14" customWidth="1" min="19" max="19"/>
    <col width="14" customWidth="1" min="20" max="20"/>
    <col width="28" customWidth="1" min="21" max="21"/>
    <col width="13" customWidth="1" min="22" max="22"/>
    <col width="26" customWidth="1" min="23" max="23"/>
    <col width="26" customWidth="1" min="24" max="24"/>
    <col width="22" customWidth="1" min="25" max="25"/>
    <col width="16" customWidth="1" min="26" max="26"/>
    <col width="16" customWidth="1" min="27" max="27"/>
    <col width="34" customWidth="1" min="28" max="28"/>
    <col width="12" customWidth="1" min="29" max="29"/>
  </cols>
  <sheetData>
    <row r="1" ht="36" customHeight="1">
      <c r="A1" s="10" t="inlineStr">
        <is>
          <t>SolidPro — Content Writing Tracker  |  FILE 2 of 2</t>
        </is>
      </c>
    </row>
    <row r="2" ht="16" customHeight="1">
      <c r="A2" s="2" t="inlineStr">
        <is>
          <t>Asset ID format: CAMPID-CW-001  |  One row per content piece  |  Link to Landing Page + Lead Magnet IDs  |  * = Mandatory</t>
        </is>
      </c>
    </row>
    <row r="3" ht="32" customHeight="1">
      <c r="A3" s="11" t="inlineStr">
        <is>
          <t>S.No</t>
        </is>
      </c>
      <c r="B3" s="11" t="inlineStr">
        <is>
          <t>Campaign ID *</t>
        </is>
      </c>
      <c r="C3" s="11" t="inlineStr">
        <is>
          <t>Asset ID</t>
        </is>
      </c>
      <c r="D3" s="11" t="inlineStr">
        <is>
          <t>Vertical *</t>
        </is>
      </c>
      <c r="E3" s="11" t="inlineStr">
        <is>
          <t>Content Title *</t>
        </is>
      </c>
      <c r="F3" s="11" t="inlineStr">
        <is>
          <t>Content Format</t>
        </is>
      </c>
      <c r="G3" s="11" t="inlineStr">
        <is>
          <t>Topic / Angle</t>
        </is>
      </c>
      <c r="H3" s="11" t="inlineStr">
        <is>
          <t>Target Keyword(s)</t>
        </is>
      </c>
      <c r="I3" s="11" t="inlineStr">
        <is>
          <t>Word Count (Target)</t>
        </is>
      </c>
      <c r="J3" s="11" t="inlineStr">
        <is>
          <t>Audience Persona</t>
        </is>
      </c>
      <c r="K3" s="11" t="inlineStr">
        <is>
          <t>Funnel Stage</t>
        </is>
      </c>
      <c r="L3" s="11" t="inlineStr">
        <is>
          <t>Tone of Voice</t>
        </is>
      </c>
      <c r="M3" s="11" t="inlineStr">
        <is>
          <t>Linked LP ID</t>
        </is>
      </c>
      <c r="N3" s="11" t="inlineStr">
        <is>
          <t>Linked Lead Magnet ID</t>
        </is>
      </c>
      <c r="O3" s="11" t="inlineStr">
        <is>
          <t>References / Resources</t>
        </is>
      </c>
      <c r="P3" s="11" t="inlineStr">
        <is>
          <t>Content Writer *</t>
        </is>
      </c>
      <c r="Q3" s="11" t="inlineStr">
        <is>
          <t>Reviewer</t>
        </is>
      </c>
      <c r="R3" s="11" t="inlineStr">
        <is>
          <t>Brief Date</t>
        </is>
      </c>
      <c r="S3" s="11" t="inlineStr">
        <is>
          <t>Due Date *</t>
        </is>
      </c>
      <c r="T3" s="11" t="inlineStr">
        <is>
          <t>Pub / Go-Live Date *</t>
        </is>
      </c>
      <c r="U3" s="11" t="inlineStr">
        <is>
          <t>Draft Link</t>
        </is>
      </c>
      <c r="V3" s="11" t="inlineStr">
        <is>
          <t>Priority</t>
        </is>
      </c>
      <c r="W3" s="11" t="inlineStr">
        <is>
          <t>Status</t>
        </is>
      </c>
      <c r="X3" s="11" t="inlineStr">
        <is>
          <t>Approved by Project Head</t>
        </is>
      </c>
      <c r="Y3" s="11" t="inlineStr">
        <is>
          <t>Approved by Manager</t>
        </is>
      </c>
      <c r="Z3" s="11" t="inlineStr">
        <is>
          <t>SEO Optimised?</t>
        </is>
      </c>
      <c r="AA3" s="11" t="inlineStr">
        <is>
          <t>CMS Published?</t>
        </is>
      </c>
      <c r="AB3" s="11" t="inlineStr">
        <is>
          <t>Feedback / Notes</t>
        </is>
      </c>
      <c r="AC3" s="11" t="inlineStr">
        <is>
          <t>Archived?</t>
        </is>
      </c>
    </row>
    <row r="4" ht="22" customHeight="1">
      <c r="A4" s="4" t="n">
        <v>1</v>
      </c>
      <c r="B4" s="5" t="n"/>
      <c r="C4" s="6">
        <f>IF(B4="","",B4&amp;"-CW-"&amp;TEXT(1,"000"))</f>
        <v/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 ht="22" customHeight="1">
      <c r="A5" s="7" t="n">
        <v>2</v>
      </c>
      <c r="B5" s="8" t="n"/>
      <c r="C5" s="9">
        <f>IF(B5="","",B5&amp;"-CW-"&amp;TEXT(2,"000"))</f>
        <v/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</row>
    <row r="6" ht="22" customHeight="1">
      <c r="A6" s="4" t="n">
        <v>3</v>
      </c>
      <c r="B6" s="5" t="n"/>
      <c r="C6" s="6">
        <f>IF(B6="","",B6&amp;"-CW-"&amp;TEXT(3,"000"))</f>
        <v/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 ht="22" customHeight="1">
      <c r="A7" s="7" t="n">
        <v>4</v>
      </c>
      <c r="B7" s="8" t="n"/>
      <c r="C7" s="9">
        <f>IF(B7="","",B7&amp;"-CW-"&amp;TEXT(4,"000"))</f>
        <v/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</row>
    <row r="8" ht="22" customHeight="1">
      <c r="A8" s="4" t="n">
        <v>5</v>
      </c>
      <c r="B8" s="5" t="n"/>
      <c r="C8" s="6">
        <f>IF(B8="","",B8&amp;"-CW-"&amp;TEXT(5,"000"))</f>
        <v/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</row>
    <row r="9" ht="22" customHeight="1">
      <c r="A9" s="7" t="n">
        <v>6</v>
      </c>
      <c r="B9" s="8" t="n"/>
      <c r="C9" s="9">
        <f>IF(B9="","",B9&amp;"-CW-"&amp;TEXT(6,"000"))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</row>
    <row r="10" ht="22" customHeight="1">
      <c r="A10" s="4" t="n">
        <v>7</v>
      </c>
      <c r="B10" s="5" t="n"/>
      <c r="C10" s="6">
        <f>IF(B10="","",B10&amp;"-CW-"&amp;TEXT(7,"000"))</f>
        <v/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</row>
    <row r="11" ht="22" customHeight="1">
      <c r="A11" s="7" t="n">
        <v>8</v>
      </c>
      <c r="B11" s="8" t="n"/>
      <c r="C11" s="9">
        <f>IF(B11="","",B11&amp;"-CW-"&amp;TEXT(8,"000"))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</row>
    <row r="12" ht="22" customHeight="1">
      <c r="A12" s="4" t="n">
        <v>9</v>
      </c>
      <c r="B12" s="5" t="n"/>
      <c r="C12" s="6">
        <f>IF(B12="","",B12&amp;"-CW-"&amp;TEXT(9,"000"))</f>
        <v/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</row>
    <row r="13" ht="22" customHeight="1">
      <c r="A13" s="7" t="n">
        <v>10</v>
      </c>
      <c r="B13" s="8" t="n"/>
      <c r="C13" s="9">
        <f>IF(B13="","",B13&amp;"-CW-"&amp;TEXT(10,"000"))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</row>
    <row r="14" ht="22" customHeight="1">
      <c r="A14" s="4" t="n">
        <v>11</v>
      </c>
      <c r="B14" s="5" t="n"/>
      <c r="C14" s="6">
        <f>IF(B14="","",B14&amp;"-CW-"&amp;TEXT(11,"000"))</f>
        <v/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</row>
    <row r="15" ht="22" customHeight="1">
      <c r="A15" s="7" t="n">
        <v>12</v>
      </c>
      <c r="B15" s="8" t="n"/>
      <c r="C15" s="9">
        <f>IF(B15="","",B15&amp;"-CW-"&amp;TEXT(12,"000"))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</row>
    <row r="16" ht="22" customHeight="1">
      <c r="A16" s="4" t="n">
        <v>13</v>
      </c>
      <c r="B16" s="5" t="n"/>
      <c r="C16" s="6">
        <f>IF(B16="","",B16&amp;"-CW-"&amp;TEXT(13,"000"))</f>
        <v/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</row>
    <row r="17" ht="22" customHeight="1">
      <c r="A17" s="7" t="n">
        <v>14</v>
      </c>
      <c r="B17" s="8" t="n"/>
      <c r="C17" s="9">
        <f>IF(B17="","",B17&amp;"-CW-"&amp;TEXT(14,"000"))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</row>
    <row r="18" ht="22" customHeight="1">
      <c r="A18" s="4" t="n">
        <v>15</v>
      </c>
      <c r="B18" s="5" t="n"/>
      <c r="C18" s="6">
        <f>IF(B18="","",B18&amp;"-CW-"&amp;TEXT(15,"000"))</f>
        <v/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</row>
    <row r="19" ht="22" customHeight="1">
      <c r="A19" s="7" t="n">
        <v>16</v>
      </c>
      <c r="B19" s="8" t="n"/>
      <c r="C19" s="9">
        <f>IF(B19="","",B19&amp;"-CW-"&amp;TEXT(16,"000"))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</row>
    <row r="20" ht="22" customHeight="1">
      <c r="A20" s="4" t="n">
        <v>17</v>
      </c>
      <c r="B20" s="5" t="n"/>
      <c r="C20" s="6">
        <f>IF(B20="","",B20&amp;"-CW-"&amp;TEXT(17,"000"))</f>
        <v/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</row>
    <row r="21" ht="22" customHeight="1">
      <c r="A21" s="7" t="n">
        <v>18</v>
      </c>
      <c r="B21" s="8" t="n"/>
      <c r="C21" s="9">
        <f>IF(B21="","",B21&amp;"-CW-"&amp;TEXT(18,"000"))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</row>
    <row r="22" ht="22" customHeight="1">
      <c r="A22" s="4" t="n">
        <v>19</v>
      </c>
      <c r="B22" s="5" t="n"/>
      <c r="C22" s="6">
        <f>IF(B22="","",B22&amp;"-CW-"&amp;TEXT(19,"000"))</f>
        <v/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</row>
    <row r="23" ht="22" customHeight="1">
      <c r="A23" s="7" t="n">
        <v>20</v>
      </c>
      <c r="B23" s="8" t="n"/>
      <c r="C23" s="9">
        <f>IF(B23="","",B23&amp;"-CW-"&amp;TEXT(20,"000"))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</row>
    <row r="24" ht="22" customHeight="1">
      <c r="A24" s="4" t="n">
        <v>21</v>
      </c>
      <c r="B24" s="5" t="n"/>
      <c r="C24" s="6">
        <f>IF(B24="","",B24&amp;"-CW-"&amp;TEXT(21,"000"))</f>
        <v/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</row>
    <row r="25" ht="22" customHeight="1">
      <c r="A25" s="7" t="n">
        <v>22</v>
      </c>
      <c r="B25" s="8" t="n"/>
      <c r="C25" s="9">
        <f>IF(B25="","",B25&amp;"-CW-"&amp;TEXT(22,"000"))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</row>
    <row r="26" ht="22" customHeight="1">
      <c r="A26" s="4" t="n">
        <v>23</v>
      </c>
      <c r="B26" s="5" t="n"/>
      <c r="C26" s="6">
        <f>IF(B26="","",B26&amp;"-CW-"&amp;TEXT(23,"000"))</f>
        <v/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</row>
    <row r="27" ht="22" customHeight="1">
      <c r="A27" s="7" t="n">
        <v>24</v>
      </c>
      <c r="B27" s="8" t="n"/>
      <c r="C27" s="9">
        <f>IF(B27="","",B27&amp;"-CW-"&amp;TEXT(24,"000"))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</row>
    <row r="28" ht="22" customHeight="1">
      <c r="A28" s="4" t="n">
        <v>25</v>
      </c>
      <c r="B28" s="5" t="n"/>
      <c r="C28" s="6">
        <f>IF(B28="","",B28&amp;"-CW-"&amp;TEXT(25,"000"))</f>
        <v/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  <row r="29" ht="22" customHeight="1">
      <c r="A29" s="7" t="n">
        <v>26</v>
      </c>
      <c r="B29" s="8" t="n"/>
      <c r="C29" s="9">
        <f>IF(B29="","",B29&amp;"-CW-"&amp;TEXT(26,"000"))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</row>
    <row r="30" ht="22" customHeight="1">
      <c r="A30" s="4" t="n">
        <v>27</v>
      </c>
      <c r="B30" s="5" t="n"/>
      <c r="C30" s="6">
        <f>IF(B30="","",B30&amp;"-CW-"&amp;TEXT(27,"000"))</f>
        <v/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</row>
    <row r="31" ht="22" customHeight="1">
      <c r="A31" s="7" t="n">
        <v>28</v>
      </c>
      <c r="B31" s="8" t="n"/>
      <c r="C31" s="9">
        <f>IF(B31="","",B31&amp;"-CW-"&amp;TEXT(28,"000"))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</row>
    <row r="32" ht="22" customHeight="1">
      <c r="A32" s="4" t="n">
        <v>29</v>
      </c>
      <c r="B32" s="5" t="n"/>
      <c r="C32" s="6">
        <f>IF(B32="","",B32&amp;"-CW-"&amp;TEXT(29,"000"))</f>
        <v/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 ht="22" customHeight="1">
      <c r="A33" s="7" t="n">
        <v>30</v>
      </c>
      <c r="B33" s="8" t="n"/>
      <c r="C33" s="9">
        <f>IF(B33="","",B33&amp;"-CW-"&amp;TEXT(30,"000"))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</row>
    <row r="34" ht="22" customHeight="1">
      <c r="A34" s="4" t="n">
        <v>31</v>
      </c>
      <c r="B34" s="5" t="n"/>
      <c r="C34" s="6">
        <f>IF(B34="","",B34&amp;"-CW-"&amp;TEXT(31,"000"))</f>
        <v/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</row>
    <row r="35" ht="22" customHeight="1">
      <c r="A35" s="7" t="n">
        <v>32</v>
      </c>
      <c r="B35" s="8" t="n"/>
      <c r="C35" s="9">
        <f>IF(B35="","",B35&amp;"-CW-"&amp;TEXT(32,"000"))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</row>
    <row r="36" ht="22" customHeight="1">
      <c r="A36" s="4" t="n">
        <v>33</v>
      </c>
      <c r="B36" s="5" t="n"/>
      <c r="C36" s="6">
        <f>IF(B36="","",B36&amp;"-CW-"&amp;TEXT(33,"000"))</f>
        <v/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</row>
    <row r="37" ht="22" customHeight="1">
      <c r="A37" s="7" t="n">
        <v>34</v>
      </c>
      <c r="B37" s="8" t="n"/>
      <c r="C37" s="9">
        <f>IF(B37="","",B37&amp;"-CW-"&amp;TEXT(34,"000"))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</row>
    <row r="38" ht="22" customHeight="1">
      <c r="A38" s="4" t="n">
        <v>35</v>
      </c>
      <c r="B38" s="5" t="n"/>
      <c r="C38" s="6">
        <f>IF(B38="","",B38&amp;"-CW-"&amp;TEXT(35,"000"))</f>
        <v/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</row>
    <row r="39" ht="22" customHeight="1">
      <c r="A39" s="7" t="n">
        <v>36</v>
      </c>
      <c r="B39" s="8" t="n"/>
      <c r="C39" s="9">
        <f>IF(B39="","",B39&amp;"-CW-"&amp;TEXT(36,"000"))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</row>
    <row r="40" ht="22" customHeight="1">
      <c r="A40" s="4" t="n">
        <v>37</v>
      </c>
      <c r="B40" s="5" t="n"/>
      <c r="C40" s="6">
        <f>IF(B40="","",B40&amp;"-CW-"&amp;TEXT(37,"000"))</f>
        <v/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</row>
    <row r="41" ht="22" customHeight="1">
      <c r="A41" s="7" t="n">
        <v>38</v>
      </c>
      <c r="B41" s="8" t="n"/>
      <c r="C41" s="9">
        <f>IF(B41="","",B41&amp;"-CW-"&amp;TEXT(38,"000"))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</row>
    <row r="42" ht="22" customHeight="1">
      <c r="A42" s="4" t="n">
        <v>39</v>
      </c>
      <c r="B42" s="5" t="n"/>
      <c r="C42" s="6">
        <f>IF(B42="","",B42&amp;"-CW-"&amp;TEXT(39,"000"))</f>
        <v/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</row>
    <row r="43" ht="22" customHeight="1">
      <c r="A43" s="7" t="n">
        <v>40</v>
      </c>
      <c r="B43" s="8" t="n"/>
      <c r="C43" s="9">
        <f>IF(B43="","",B43&amp;"-CW-"&amp;TEXT(40,"000"))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</row>
    <row r="44" ht="22" customHeight="1">
      <c r="A44" s="4" t="n">
        <v>41</v>
      </c>
      <c r="B44" s="5" t="n"/>
      <c r="C44" s="6">
        <f>IF(B44="","",B44&amp;"-CW-"&amp;TEXT(41,"000"))</f>
        <v/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</row>
    <row r="45" ht="22" customHeight="1">
      <c r="A45" s="7" t="n">
        <v>42</v>
      </c>
      <c r="B45" s="8" t="n"/>
      <c r="C45" s="9">
        <f>IF(B45="","",B45&amp;"-CW-"&amp;TEXT(42,"000"))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</row>
    <row r="46" ht="22" customHeight="1">
      <c r="A46" s="4" t="n">
        <v>43</v>
      </c>
      <c r="B46" s="5" t="n"/>
      <c r="C46" s="6">
        <f>IF(B46="","",B46&amp;"-CW-"&amp;TEXT(43,"000"))</f>
        <v/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</row>
    <row r="47" ht="22" customHeight="1">
      <c r="A47" s="7" t="n">
        <v>44</v>
      </c>
      <c r="B47" s="8" t="n"/>
      <c r="C47" s="9">
        <f>IF(B47="","",B47&amp;"-CW-"&amp;TEXT(44,"000"))</f>
        <v/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</row>
    <row r="48" ht="22" customHeight="1">
      <c r="A48" s="4" t="n">
        <v>45</v>
      </c>
      <c r="B48" s="5" t="n"/>
      <c r="C48" s="6">
        <f>IF(B48="","",B48&amp;"-CW-"&amp;TEXT(45,"000"))</f>
        <v/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</row>
    <row r="49" ht="22" customHeight="1">
      <c r="A49" s="7" t="n">
        <v>46</v>
      </c>
      <c r="B49" s="8" t="n"/>
      <c r="C49" s="9">
        <f>IF(B49="","",B49&amp;"-CW-"&amp;TEXT(46,"000"))</f>
        <v/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</row>
    <row r="50" ht="22" customHeight="1">
      <c r="A50" s="4" t="n">
        <v>47</v>
      </c>
      <c r="B50" s="5" t="n"/>
      <c r="C50" s="6">
        <f>IF(B50="","",B50&amp;"-CW-"&amp;TEXT(47,"000"))</f>
        <v/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</row>
    <row r="51" ht="22" customHeight="1">
      <c r="A51" s="7" t="n">
        <v>48</v>
      </c>
      <c r="B51" s="8" t="n"/>
      <c r="C51" s="9">
        <f>IF(B51="","",B51&amp;"-CW-"&amp;TEXT(48,"000"))</f>
        <v/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</row>
    <row r="52" ht="22" customHeight="1">
      <c r="A52" s="4" t="n">
        <v>49</v>
      </c>
      <c r="B52" s="5" t="n"/>
      <c r="C52" s="6">
        <f>IF(B52="","",B52&amp;"-CW-"&amp;TEXT(49,"000"))</f>
        <v/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</row>
    <row r="53" ht="22" customHeight="1">
      <c r="A53" s="7" t="n">
        <v>50</v>
      </c>
      <c r="B53" s="8" t="n"/>
      <c r="C53" s="9">
        <f>IF(B53="","",B53&amp;"-CW-"&amp;TEXT(50,"000"))</f>
        <v/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</row>
    <row r="54" ht="22" customHeight="1">
      <c r="A54" s="4" t="n">
        <v>51</v>
      </c>
      <c r="B54" s="5" t="n"/>
      <c r="C54" s="6">
        <f>IF(B54="","",B54&amp;"-CW-"&amp;TEXT(51,"000"))</f>
        <v/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</row>
    <row r="55" ht="22" customHeight="1">
      <c r="A55" s="7" t="n">
        <v>52</v>
      </c>
      <c r="B55" s="8" t="n"/>
      <c r="C55" s="9">
        <f>IF(B55="","",B55&amp;"-CW-"&amp;TEXT(52,"000"))</f>
        <v/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</row>
    <row r="56" ht="22" customHeight="1">
      <c r="A56" s="4" t="n">
        <v>53</v>
      </c>
      <c r="B56" s="5" t="n"/>
      <c r="C56" s="6">
        <f>IF(B56="","",B56&amp;"-CW-"&amp;TEXT(53,"000"))</f>
        <v/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</row>
    <row r="57" ht="22" customHeight="1">
      <c r="A57" s="7" t="n">
        <v>54</v>
      </c>
      <c r="B57" s="8" t="n"/>
      <c r="C57" s="9">
        <f>IF(B57="","",B57&amp;"-CW-"&amp;TEXT(54,"000"))</f>
        <v/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</row>
    <row r="58" ht="22" customHeight="1">
      <c r="A58" s="4" t="n">
        <v>55</v>
      </c>
      <c r="B58" s="5" t="n"/>
      <c r="C58" s="6">
        <f>IF(B58="","",B58&amp;"-CW-"&amp;TEXT(55,"000"))</f>
        <v/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</row>
    <row r="59" ht="22" customHeight="1">
      <c r="A59" s="7" t="n">
        <v>56</v>
      </c>
      <c r="B59" s="8" t="n"/>
      <c r="C59" s="9">
        <f>IF(B59="","",B59&amp;"-CW-"&amp;TEXT(56,"000"))</f>
        <v/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</row>
    <row r="60" ht="22" customHeight="1">
      <c r="A60" s="4" t="n">
        <v>57</v>
      </c>
      <c r="B60" s="5" t="n"/>
      <c r="C60" s="6">
        <f>IF(B60="","",B60&amp;"-CW-"&amp;TEXT(57,"000"))</f>
        <v/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</row>
    <row r="61" ht="22" customHeight="1">
      <c r="A61" s="7" t="n">
        <v>58</v>
      </c>
      <c r="B61" s="8" t="n"/>
      <c r="C61" s="9">
        <f>IF(B61="","",B61&amp;"-CW-"&amp;TEXT(58,"000"))</f>
        <v/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</row>
    <row r="62" ht="22" customHeight="1">
      <c r="A62" s="4" t="n">
        <v>59</v>
      </c>
      <c r="B62" s="5" t="n"/>
      <c r="C62" s="6">
        <f>IF(B62="","",B62&amp;"-CW-"&amp;TEXT(59,"000"))</f>
        <v/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</row>
    <row r="63" ht="22" customHeight="1">
      <c r="A63" s="7" t="n">
        <v>60</v>
      </c>
      <c r="B63" s="8" t="n"/>
      <c r="C63" s="9">
        <f>IF(B63="","",B63&amp;"-CW-"&amp;TEXT(60,"000"))</f>
        <v/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</row>
    <row r="64" ht="22" customHeight="1">
      <c r="A64" s="4" t="n">
        <v>61</v>
      </c>
      <c r="B64" s="5" t="n"/>
      <c r="C64" s="6">
        <f>IF(B64="","",B64&amp;"-CW-"&amp;TEXT(61,"000"))</f>
        <v/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</row>
    <row r="65" ht="22" customHeight="1">
      <c r="A65" s="7" t="n">
        <v>62</v>
      </c>
      <c r="B65" s="8" t="n"/>
      <c r="C65" s="9">
        <f>IF(B65="","",B65&amp;"-CW-"&amp;TEXT(62,"000"))</f>
        <v/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</row>
    <row r="66" ht="22" customHeight="1">
      <c r="A66" s="4" t="n">
        <v>63</v>
      </c>
      <c r="B66" s="5" t="n"/>
      <c r="C66" s="6">
        <f>IF(B66="","",B66&amp;"-CW-"&amp;TEXT(63,"000"))</f>
        <v/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</row>
    <row r="67" ht="22" customHeight="1">
      <c r="A67" s="7" t="n">
        <v>64</v>
      </c>
      <c r="B67" s="8" t="n"/>
      <c r="C67" s="9">
        <f>IF(B67="","",B67&amp;"-CW-"&amp;TEXT(64,"000"))</f>
        <v/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</row>
    <row r="68" ht="22" customHeight="1">
      <c r="A68" s="4" t="n">
        <v>65</v>
      </c>
      <c r="B68" s="5" t="n"/>
      <c r="C68" s="6">
        <f>IF(B68="","",B68&amp;"-CW-"&amp;TEXT(65,"000"))</f>
        <v/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</row>
    <row r="69" ht="22" customHeight="1">
      <c r="A69" s="7" t="n">
        <v>66</v>
      </c>
      <c r="B69" s="8" t="n"/>
      <c r="C69" s="9">
        <f>IF(B69="","",B69&amp;"-CW-"&amp;TEXT(66,"000"))</f>
        <v/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</row>
    <row r="70" ht="22" customHeight="1">
      <c r="A70" s="4" t="n">
        <v>67</v>
      </c>
      <c r="B70" s="5" t="n"/>
      <c r="C70" s="6">
        <f>IF(B70="","",B70&amp;"-CW-"&amp;TEXT(67,"000"))</f>
        <v/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</row>
    <row r="71" ht="22" customHeight="1">
      <c r="A71" s="7" t="n">
        <v>68</v>
      </c>
      <c r="B71" s="8" t="n"/>
      <c r="C71" s="9">
        <f>IF(B71="","",B71&amp;"-CW-"&amp;TEXT(68,"000"))</f>
        <v/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</row>
    <row r="72" ht="22" customHeight="1">
      <c r="A72" s="4" t="n">
        <v>69</v>
      </c>
      <c r="B72" s="5" t="n"/>
      <c r="C72" s="6">
        <f>IF(B72="","",B72&amp;"-CW-"&amp;TEXT(69,"000"))</f>
        <v/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</row>
    <row r="73" ht="22" customHeight="1">
      <c r="A73" s="7" t="n">
        <v>70</v>
      </c>
      <c r="B73" s="8" t="n"/>
      <c r="C73" s="9">
        <f>IF(B73="","",B73&amp;"-CW-"&amp;TEXT(70,"000"))</f>
        <v/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</row>
    <row r="74" ht="22" customHeight="1">
      <c r="A74" s="4" t="n">
        <v>71</v>
      </c>
      <c r="B74" s="5" t="n"/>
      <c r="C74" s="6">
        <f>IF(B74="","",B74&amp;"-CW-"&amp;TEXT(71,"000"))</f>
        <v/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</row>
    <row r="75" ht="22" customHeight="1">
      <c r="A75" s="7" t="n">
        <v>72</v>
      </c>
      <c r="B75" s="8" t="n"/>
      <c r="C75" s="9">
        <f>IF(B75="","",B75&amp;"-CW-"&amp;TEXT(72,"000"))</f>
        <v/>
      </c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</row>
    <row r="76" ht="22" customHeight="1">
      <c r="A76" s="4" t="n">
        <v>73</v>
      </c>
      <c r="B76" s="5" t="n"/>
      <c r="C76" s="6">
        <f>IF(B76="","",B76&amp;"-CW-"&amp;TEXT(73,"000"))</f>
        <v/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</row>
    <row r="77" ht="22" customHeight="1">
      <c r="A77" s="7" t="n">
        <v>74</v>
      </c>
      <c r="B77" s="8" t="n"/>
      <c r="C77" s="9">
        <f>IF(B77="","",B77&amp;"-CW-"&amp;TEXT(74,"000"))</f>
        <v/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</row>
    <row r="78" ht="22" customHeight="1">
      <c r="A78" s="4" t="n">
        <v>75</v>
      </c>
      <c r="B78" s="5" t="n"/>
      <c r="C78" s="6">
        <f>IF(B78="","",B78&amp;"-CW-"&amp;TEXT(75,"000"))</f>
        <v/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</row>
    <row r="79" ht="22" customHeight="1">
      <c r="A79" s="7" t="n">
        <v>76</v>
      </c>
      <c r="B79" s="8" t="n"/>
      <c r="C79" s="9">
        <f>IF(B79="","",B79&amp;"-CW-"&amp;TEXT(76,"000"))</f>
        <v/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</row>
    <row r="80" ht="22" customHeight="1">
      <c r="A80" s="4" t="n">
        <v>77</v>
      </c>
      <c r="B80" s="5" t="n"/>
      <c r="C80" s="6">
        <f>IF(B80="","",B80&amp;"-CW-"&amp;TEXT(77,"000"))</f>
        <v/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</row>
    <row r="81" ht="22" customHeight="1">
      <c r="A81" s="7" t="n">
        <v>78</v>
      </c>
      <c r="B81" s="8" t="n"/>
      <c r="C81" s="9">
        <f>IF(B81="","",B81&amp;"-CW-"&amp;TEXT(78,"000"))</f>
        <v/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</row>
    <row r="82" ht="22" customHeight="1">
      <c r="A82" s="4" t="n">
        <v>79</v>
      </c>
      <c r="B82" s="5" t="n"/>
      <c r="C82" s="6">
        <f>IF(B82="","",B82&amp;"-CW-"&amp;TEXT(79,"000"))</f>
        <v/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</row>
    <row r="83" ht="22" customHeight="1">
      <c r="A83" s="7" t="n">
        <v>80</v>
      </c>
      <c r="B83" s="8" t="n"/>
      <c r="C83" s="9">
        <f>IF(B83="","",B83&amp;"-CW-"&amp;TEXT(80,"000"))</f>
        <v/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</row>
    <row r="84" ht="22" customHeight="1">
      <c r="A84" s="4" t="n">
        <v>81</v>
      </c>
      <c r="B84" s="5" t="n"/>
      <c r="C84" s="6">
        <f>IF(B84="","",B84&amp;"-CW-"&amp;TEXT(81,"000"))</f>
        <v/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</row>
    <row r="85" ht="22" customHeight="1">
      <c r="A85" s="7" t="n">
        <v>82</v>
      </c>
      <c r="B85" s="8" t="n"/>
      <c r="C85" s="9">
        <f>IF(B85="","",B85&amp;"-CW-"&amp;TEXT(82,"000"))</f>
        <v/>
      </c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</row>
    <row r="86" ht="22" customHeight="1">
      <c r="A86" s="4" t="n">
        <v>83</v>
      </c>
      <c r="B86" s="5" t="n"/>
      <c r="C86" s="6">
        <f>IF(B86="","",B86&amp;"-CW-"&amp;TEXT(83,"000"))</f>
        <v/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</row>
    <row r="87" ht="22" customHeight="1">
      <c r="A87" s="7" t="n">
        <v>84</v>
      </c>
      <c r="B87" s="8" t="n"/>
      <c r="C87" s="9">
        <f>IF(B87="","",B87&amp;"-CW-"&amp;TEXT(84,"000"))</f>
        <v/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</row>
    <row r="88" ht="22" customHeight="1">
      <c r="A88" s="4" t="n">
        <v>85</v>
      </c>
      <c r="B88" s="5" t="n"/>
      <c r="C88" s="6">
        <f>IF(B88="","",B88&amp;"-CW-"&amp;TEXT(85,"000"))</f>
        <v/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</row>
    <row r="89" ht="22" customHeight="1">
      <c r="A89" s="7" t="n">
        <v>86</v>
      </c>
      <c r="B89" s="8" t="n"/>
      <c r="C89" s="9">
        <f>IF(B89="","",B89&amp;"-CW-"&amp;TEXT(86,"000"))</f>
        <v/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</row>
    <row r="90" ht="22" customHeight="1">
      <c r="A90" s="4" t="n">
        <v>87</v>
      </c>
      <c r="B90" s="5" t="n"/>
      <c r="C90" s="6">
        <f>IF(B90="","",B90&amp;"-CW-"&amp;TEXT(87,"000"))</f>
        <v/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</row>
    <row r="91" ht="22" customHeight="1">
      <c r="A91" s="7" t="n">
        <v>88</v>
      </c>
      <c r="B91" s="8" t="n"/>
      <c r="C91" s="9">
        <f>IF(B91="","",B91&amp;"-CW-"&amp;TEXT(88,"000"))</f>
        <v/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</row>
    <row r="92" ht="22" customHeight="1">
      <c r="A92" s="4" t="n">
        <v>89</v>
      </c>
      <c r="B92" s="5" t="n"/>
      <c r="C92" s="6">
        <f>IF(B92="","",B92&amp;"-CW-"&amp;TEXT(89,"000"))</f>
        <v/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</row>
    <row r="93" ht="22" customHeight="1">
      <c r="A93" s="7" t="n">
        <v>90</v>
      </c>
      <c r="B93" s="8" t="n"/>
      <c r="C93" s="9">
        <f>IF(B93="","",B93&amp;"-CW-"&amp;TEXT(90,"000"))</f>
        <v/>
      </c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</row>
    <row r="94" ht="22" customHeight="1">
      <c r="A94" s="4" t="n">
        <v>91</v>
      </c>
      <c r="B94" s="5" t="n"/>
      <c r="C94" s="6">
        <f>IF(B94="","",B94&amp;"-CW-"&amp;TEXT(91,"000"))</f>
        <v/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</row>
    <row r="95" ht="22" customHeight="1">
      <c r="A95" s="7" t="n">
        <v>92</v>
      </c>
      <c r="B95" s="8" t="n"/>
      <c r="C95" s="9">
        <f>IF(B95="","",B95&amp;"-CW-"&amp;TEXT(92,"000"))</f>
        <v/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</row>
    <row r="96" ht="22" customHeight="1">
      <c r="A96" s="4" t="n">
        <v>93</v>
      </c>
      <c r="B96" s="5" t="n"/>
      <c r="C96" s="6">
        <f>IF(B96="","",B96&amp;"-CW-"&amp;TEXT(93,"000"))</f>
        <v/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</row>
    <row r="97" ht="22" customHeight="1">
      <c r="A97" s="7" t="n">
        <v>94</v>
      </c>
      <c r="B97" s="8" t="n"/>
      <c r="C97" s="9">
        <f>IF(B97="","",B97&amp;"-CW-"&amp;TEXT(94,"000"))</f>
        <v/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</row>
    <row r="98" ht="22" customHeight="1">
      <c r="A98" s="4" t="n">
        <v>95</v>
      </c>
      <c r="B98" s="5" t="n"/>
      <c r="C98" s="6">
        <f>IF(B98="","",B98&amp;"-CW-"&amp;TEXT(95,"000"))</f>
        <v/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</row>
    <row r="99" ht="22" customHeight="1">
      <c r="A99" s="7" t="n">
        <v>96</v>
      </c>
      <c r="B99" s="8" t="n"/>
      <c r="C99" s="9">
        <f>IF(B99="","",B99&amp;"-CW-"&amp;TEXT(96,"000"))</f>
        <v/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</row>
    <row r="100" ht="22" customHeight="1">
      <c r="A100" s="4" t="n">
        <v>97</v>
      </c>
      <c r="B100" s="5" t="n"/>
      <c r="C100" s="6">
        <f>IF(B100="","",B100&amp;"-CW-"&amp;TEXT(97,"000"))</f>
        <v/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</row>
    <row r="101" ht="22" customHeight="1">
      <c r="A101" s="7" t="n">
        <v>98</v>
      </c>
      <c r="B101" s="8" t="n"/>
      <c r="C101" s="9">
        <f>IF(B101="","",B101&amp;"-CW-"&amp;TEXT(98,"000"))</f>
        <v/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</row>
    <row r="102" ht="22" customHeight="1">
      <c r="A102" s="4" t="n">
        <v>99</v>
      </c>
      <c r="B102" s="5" t="n"/>
      <c r="C102" s="6">
        <f>IF(B102="","",B102&amp;"-CW-"&amp;TEXT(99,"000"))</f>
        <v/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</row>
    <row r="103" ht="22" customHeight="1">
      <c r="A103" s="7" t="n">
        <v>100</v>
      </c>
      <c r="B103" s="8" t="n"/>
      <c r="C103" s="9">
        <f>IF(B103="","",B103&amp;"-CW-"&amp;TEXT(100,"000"))</f>
        <v/>
      </c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</row>
  </sheetData>
  <mergeCells count="2">
    <mergeCell ref="A2:AC2"/>
    <mergeCell ref="A1:AC1"/>
  </mergeCells>
  <conditionalFormatting sqref="W4:W103">
    <cfRule type="containsText" priority="1" operator="containsText" dxfId="0" text="Active">
      <formula>NOT(ISERROR(SEARCH("Active",W4)))</formula>
    </cfRule>
    <cfRule type="containsText" priority="2" operator="containsText" dxfId="0" text="Completed">
      <formula>NOT(ISERROR(SEARCH("Completed",W4)))</formula>
    </cfRule>
    <cfRule type="containsText" priority="3" operator="containsText" dxfId="0" text="Approved">
      <formula>NOT(ISERROR(SEARCH("Approved",W4)))</formula>
    </cfRule>
    <cfRule type="containsText" priority="4" operator="containsText" dxfId="0" text="Published">
      <formula>NOT(ISERROR(SEARCH("Published",W4)))</formula>
    </cfRule>
    <cfRule type="containsText" priority="5" operator="containsText" dxfId="0" text="Live">
      <formula>NOT(ISERROR(SEARCH("Live",W4)))</formula>
    </cfRule>
    <cfRule type="containsText" priority="6" operator="containsText" dxfId="0" text="Optimised">
      <formula>NOT(ISERROR(SEARCH("Optimised",W4)))</formula>
    </cfRule>
    <cfRule type="containsText" priority="7" operator="containsText" dxfId="1" text="Cancelled">
      <formula>NOT(ISERROR(SEARCH("Cancelled",W4)))</formula>
    </cfRule>
    <cfRule type="containsText" priority="8" operator="containsText" dxfId="1" text="Rejected">
      <formula>NOT(ISERROR(SEARCH("Rejected",W4)))</formula>
    </cfRule>
    <cfRule type="containsText" priority="9" operator="containsText" dxfId="2" text="On Hold">
      <formula>NOT(ISERROR(SEARCH("On Hold",W4)))</formula>
    </cfRule>
    <cfRule type="containsText" priority="10" operator="containsText" dxfId="2" text="Paused">
      <formula>NOT(ISERROR(SEARCH("Paused",W4)))</formula>
    </cfRule>
    <cfRule type="containsText" priority="11" operator="containsText" dxfId="2" text="Revision">
      <formula>NOT(ISERROR(SEARCH("Revision",W4)))</formula>
    </cfRule>
    <cfRule type="containsText" priority="12" operator="containsText" dxfId="2" text="Changes">
      <formula>NOT(ISERROR(SEARCH("Changes",W4)))</formula>
    </cfRule>
    <cfRule type="containsText" priority="13" operator="containsText" dxfId="3" text="Planning">
      <formula>NOT(ISERROR(SEARCH("Planning",W4)))</formula>
    </cfRule>
    <cfRule type="containsText" priority="14" operator="containsText" dxfId="3" text="Briefed">
      <formula>NOT(ISERROR(SEARCH("Briefed",W4)))</formula>
    </cfRule>
    <cfRule type="containsText" priority="15" operator="containsText" dxfId="4" text="Progress">
      <formula>NOT(ISERROR(SEARCH("Progress",W4)))</formula>
    </cfRule>
  </conditionalFormatting>
  <conditionalFormatting sqref="X4:X103">
    <cfRule type="containsText" priority="16" operator="containsText" dxfId="0" text="Approved">
      <formula>NOT(ISERROR(SEARCH("Approved",X4)))</formula>
    </cfRule>
    <cfRule type="containsText" priority="17" operator="containsText" dxfId="1" text="Rejected">
      <formula>NOT(ISERROR(SEARCH("Rejected",X4)))</formula>
    </cfRule>
    <cfRule type="containsText" priority="18" operator="containsText" dxfId="2" text="Changes">
      <formula>NOT(ISERROR(SEARCH("Changes",X4)))</formula>
    </cfRule>
    <cfRule type="containsText" priority="19" operator="containsText" dxfId="3" text="Pending">
      <formula>NOT(ISERROR(SEARCH("Pending",X4)))</formula>
    </cfRule>
  </conditionalFormatting>
  <conditionalFormatting sqref="Y4:Y103">
    <cfRule type="containsText" priority="20" operator="containsText" dxfId="0" text="Approved">
      <formula>NOT(ISERROR(SEARCH("Approved",Y4)))</formula>
    </cfRule>
    <cfRule type="containsText" priority="21" operator="containsText" dxfId="1" text="Rejected">
      <formula>NOT(ISERROR(SEARCH("Rejected",Y4)))</formula>
    </cfRule>
    <cfRule type="containsText" priority="22" operator="containsText" dxfId="2" text="Changes">
      <formula>NOT(ISERROR(SEARCH("Changes",Y4)))</formula>
    </cfRule>
    <cfRule type="containsText" priority="23" operator="containsText" dxfId="3" text="Pending">
      <formula>NOT(ISERROR(SEARCH("Pending",Y4)))</formula>
    </cfRule>
  </conditionalFormatting>
  <conditionalFormatting sqref="V4:V103">
    <cfRule type="containsText" priority="24" operator="containsText" dxfId="1" text="Critical">
      <formula>NOT(ISERROR(SEARCH("Critical",V4)))</formula>
    </cfRule>
    <cfRule type="containsText" priority="25" operator="containsText" dxfId="2" text="High">
      <formula>NOT(ISERROR(SEARCH("High",V4)))</formula>
    </cfRule>
    <cfRule type="containsText" priority="26" operator="containsText" dxfId="4" text="Medium">
      <formula>NOT(ISERROR(SEARCH("Medium",V4)))</formula>
    </cfRule>
    <cfRule type="containsText" priority="27" operator="containsText" dxfId="0" text="Low">
      <formula>NOT(ISERROR(SEARCH("Low",V4)))</formula>
    </cfRule>
  </conditionalFormatting>
  <dataValidations count="14">
    <dataValidation sqref="D4:D103" showDropDown="0" showInputMessage="1" showErrorMessage="1" allowBlank="1" errorTitle="Invalid" error="Select from dropdown." promptTitle="Vertical" prompt="Select vertical." type="list">
      <formula1>"Digital Transformation,Industrial Goods &amp; Consumer Products,Structural Engineering,MedTech,Energy &amp; Utilities,Sustainability,BFSI,Product Innovation,SolidPro AI,Other"</formula1>
    </dataValidation>
    <dataValidation sqref="V4:V103" showDropDown="0" showInputMessage="1" showErrorMessage="1" allowBlank="1" errorTitle="Invalid" error="Select from dropdown." promptTitle="Priority" prompt="Urgency level." type="list">
      <formula1>"🔴 Critical,🟠 High,🟡 Medium,🟢 Low"</formula1>
    </dataValidation>
    <dataValidation sqref="W4:W103" showDropDown="0" showInputMessage="1" showErrorMessage="1" allowBlank="1" errorTitle="Invalid" error="Select from dropdown." promptTitle="Status" prompt="Workflow status." type="list">
      <formula1>"📋 Briefed,✍ In Progress,🔁 In Revision,✅ Approved by Project Head,✅ Approved by Manager,🚀 Published / Live,⏸ On Hold,❌ Cancelled"</formula1>
    </dataValidation>
    <dataValidation sqref="X4:X103" showDropDown="0" showInputMessage="1" showErrorMessage="1" allowBlank="1" errorTitle="Invalid" error="Select from dropdown." promptTitle="PH Approval" prompt="Project Head approval." type="list">
      <formula1>"⏳ Pending,✅ Approved,🔁 Changes Requested,❌ Rejected"</formula1>
    </dataValidation>
    <dataValidation sqref="Y4:Y103" showDropDown="0" showInputMessage="1" showErrorMessage="1" allowBlank="1" errorTitle="Invalid" error="Select from dropdown." promptTitle="Mgr Approval" prompt="Manager approval." type="list">
      <formula1>"⏳ Pending,✅ Approved,🔁 Changes Requested,❌ Rejected"</formula1>
    </dataValidation>
    <dataValidation sqref="AC4:AC103" showDropDown="0" showInputMessage="1" showErrorMessage="1" allowBlank="1" errorTitle="Invalid" error="Select from dropdown." promptTitle="Archived" prompt="Mark Yes when done." type="list">
      <formula1>"No,Yes"</formula1>
    </dataValidation>
    <dataValidation sqref="R4:R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S4:S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T4:T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F4:F103" showDropDown="0" showInputMessage="1" showErrorMessage="1" allowBlank="1" errorTitle="Invalid" error="Select from dropdown." promptTitle="Content Format" prompt="Type of written content." type="list">
      <formula1>"Blog Post,Long-Form Article,Case Study,Whitepaper,eBook,LinkedIn Article,Website Copy,Landing Page Copy,Email Copy,Script (Video),Script (Podcast),FAQs,Product Description,Press Release,Other"</formula1>
    </dataValidation>
    <dataValidation sqref="K4:K103" showDropDown="0" showInputMessage="1" showErrorMessage="1" allowBlank="1" errorTitle="Invalid" error="Select from dropdown." promptTitle="Funnel Stage" prompt="Where in funnel." type="list">
      <formula1>"TOFU – Awareness,MOFU – Consideration,BOFU – Decision,Retention"</formula1>
    </dataValidation>
    <dataValidation sqref="L4:L103" showDropDown="0" showInputMessage="1" showErrorMessage="1" allowBlank="1" errorTitle="Invalid" error="Select from dropdown." promptTitle="Tone" prompt="Writing tone." type="list">
      <formula1>"Technical &amp; Authoritative,Consultative,Conversational,Inspirational,Formal"</formula1>
    </dataValidation>
    <dataValidation sqref="Z4:Z103" showDropDown="0" showInputMessage="1" showErrorMessage="1" allowBlank="1" errorTitle="Invalid" error="Select from dropdown." promptTitle="SEO" prompt="SEO status." type="list">
      <formula1>"No,Yes – Partial,Yes – Full"</formula1>
    </dataValidation>
    <dataValidation sqref="AA4:AA103" showDropDown="0" showInputMessage="1" showErrorMessage="1" allowBlank="1" errorTitle="Invalid" error="Select from dropdown." promptTitle="CMS" prompt="CMS status." type="list">
      <formula1>"No,Yes – Scheduled,Yes – Published"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0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2" customWidth="1" min="4" max="4"/>
    <col width="32" customWidth="1" min="5" max="5"/>
    <col width="24" customWidth="1" min="6" max="6"/>
    <col width="30" customWidth="1" min="7" max="7"/>
    <col width="20" customWidth="1" min="8" max="8"/>
    <col width="22" customWidth="1" min="9" max="9"/>
    <col width="18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22" customWidth="1" min="18" max="18"/>
    <col width="30" customWidth="1" min="19" max="19"/>
    <col width="20" customWidth="1" min="20" max="20"/>
    <col width="14" customWidth="1" min="21" max="21"/>
    <col width="14" customWidth="1" min="22" max="22"/>
    <col width="14" customWidth="1" min="23" max="23"/>
    <col width="22" customWidth="1" min="24" max="24"/>
    <col width="13" customWidth="1" min="25" max="25"/>
    <col width="26" customWidth="1" min="26" max="26"/>
    <col width="26" customWidth="1" min="27" max="27"/>
    <col width="22" customWidth="1" min="28" max="28"/>
    <col width="34" customWidth="1" min="29" max="29"/>
    <col width="12" customWidth="1" min="30" max="30"/>
  </cols>
  <sheetData>
    <row r="1" ht="36" customHeight="1">
      <c r="A1" s="12" t="inlineStr">
        <is>
          <t>SolidPro — Lead Magnets Tracker  |  FILE 2 of 2</t>
        </is>
      </c>
    </row>
    <row r="2" ht="16" customHeight="1">
      <c r="A2" s="2" t="inlineStr">
        <is>
          <t>Asset ID format: CAMPID-LM-001  |  Assessments / PDFs / Calculators / Checklists  |  * = Mandatory</t>
        </is>
      </c>
    </row>
    <row r="3" ht="32" customHeight="1">
      <c r="A3" s="13" t="inlineStr">
        <is>
          <t>S.No</t>
        </is>
      </c>
      <c r="B3" s="13" t="inlineStr">
        <is>
          <t>Campaign ID *</t>
        </is>
      </c>
      <c r="C3" s="13" t="inlineStr">
        <is>
          <t>Asset ID</t>
        </is>
      </c>
      <c r="D3" s="13" t="inlineStr">
        <is>
          <t>Vertical *</t>
        </is>
      </c>
      <c r="E3" s="13" t="inlineStr">
        <is>
          <t>Lead Magnet Name *</t>
        </is>
      </c>
      <c r="F3" s="13" t="inlineStr">
        <is>
          <t>Lead Magnet Type</t>
        </is>
      </c>
      <c r="G3" s="13" t="inlineStr">
        <is>
          <t>Topic / Theme</t>
        </is>
      </c>
      <c r="H3" s="13" t="inlineStr">
        <is>
          <t>Format / Delivery</t>
        </is>
      </c>
      <c r="I3" s="13" t="inlineStr">
        <is>
          <t>Target Persona</t>
        </is>
      </c>
      <c r="J3" s="13" t="inlineStr">
        <is>
          <t>Funnel Stage</t>
        </is>
      </c>
      <c r="K3" s="13" t="inlineStr">
        <is>
          <t>Linked LP ID</t>
        </is>
      </c>
      <c r="L3" s="13" t="inlineStr">
        <is>
          <t>Linked Content ID</t>
        </is>
      </c>
      <c r="M3" s="13" t="inlineStr">
        <is>
          <t>No. of Pages / Questions</t>
        </is>
      </c>
      <c r="N3" s="13" t="inlineStr">
        <is>
          <t>Content Writer</t>
        </is>
      </c>
      <c r="O3" s="13" t="inlineStr">
        <is>
          <t>Designer</t>
        </is>
      </c>
      <c r="P3" s="13" t="inlineStr">
        <is>
          <t>Gating? (Form Required?)</t>
        </is>
      </c>
      <c r="Q3" s="13" t="inlineStr">
        <is>
          <t>Form Fields</t>
        </is>
      </c>
      <c r="R3" s="13" t="inlineStr">
        <is>
          <t>Lead Data Goes To</t>
        </is>
      </c>
      <c r="S3" s="13" t="inlineStr">
        <is>
          <t>Download / Access Link</t>
        </is>
      </c>
      <c r="T3" s="13" t="inlineStr">
        <is>
          <t>Results / Score Defined?</t>
        </is>
      </c>
      <c r="U3" s="13" t="inlineStr">
        <is>
          <t>Brief Date</t>
        </is>
      </c>
      <c r="V3" s="13" t="inlineStr">
        <is>
          <t>Due Date *</t>
        </is>
      </c>
      <c r="W3" s="13" t="inlineStr">
        <is>
          <t>Pub / Go-Live Date *</t>
        </is>
      </c>
      <c r="X3" s="13" t="inlineStr">
        <is>
          <t>Owner *</t>
        </is>
      </c>
      <c r="Y3" s="13" t="inlineStr">
        <is>
          <t>Priority</t>
        </is>
      </c>
      <c r="Z3" s="13" t="inlineStr">
        <is>
          <t>Status</t>
        </is>
      </c>
      <c r="AA3" s="13" t="inlineStr">
        <is>
          <t>Approved by Project Head</t>
        </is>
      </c>
      <c r="AB3" s="13" t="inlineStr">
        <is>
          <t>Approved by Manager</t>
        </is>
      </c>
      <c r="AC3" s="13" t="inlineStr">
        <is>
          <t>Feedback / Notes</t>
        </is>
      </c>
      <c r="AD3" s="13" t="inlineStr">
        <is>
          <t>Archived?</t>
        </is>
      </c>
    </row>
    <row r="4" ht="22" customHeight="1">
      <c r="A4" s="4" t="n">
        <v>1</v>
      </c>
      <c r="B4" s="5" t="n"/>
      <c r="C4" s="6">
        <f>IF(B4="","",B4&amp;"-LM-"&amp;TEXT(1,"000"))</f>
        <v/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</row>
    <row r="5" ht="22" customHeight="1">
      <c r="A5" s="7" t="n">
        <v>2</v>
      </c>
      <c r="B5" s="8" t="n"/>
      <c r="C5" s="9">
        <f>IF(B5="","",B5&amp;"-LM-"&amp;TEXT(2,"000"))</f>
        <v/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</row>
    <row r="6" ht="22" customHeight="1">
      <c r="A6" s="4" t="n">
        <v>3</v>
      </c>
      <c r="B6" s="5" t="n"/>
      <c r="C6" s="6">
        <f>IF(B6="","",B6&amp;"-LM-"&amp;TEXT(3,"000"))</f>
        <v/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</row>
    <row r="7" ht="22" customHeight="1">
      <c r="A7" s="7" t="n">
        <v>4</v>
      </c>
      <c r="B7" s="8" t="n"/>
      <c r="C7" s="9">
        <f>IF(B7="","",B7&amp;"-LM-"&amp;TEXT(4,"000"))</f>
        <v/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</row>
    <row r="8" ht="22" customHeight="1">
      <c r="A8" s="4" t="n">
        <v>5</v>
      </c>
      <c r="B8" s="5" t="n"/>
      <c r="C8" s="6">
        <f>IF(B8="","",B8&amp;"-LM-"&amp;TEXT(5,"000"))</f>
        <v/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</row>
    <row r="9" ht="22" customHeight="1">
      <c r="A9" s="7" t="n">
        <v>6</v>
      </c>
      <c r="B9" s="8" t="n"/>
      <c r="C9" s="9">
        <f>IF(B9="","",B9&amp;"-LM-"&amp;TEXT(6,"000"))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</row>
    <row r="10" ht="22" customHeight="1">
      <c r="A10" s="4" t="n">
        <v>7</v>
      </c>
      <c r="B10" s="5" t="n"/>
      <c r="C10" s="6">
        <f>IF(B10="","",B10&amp;"-LM-"&amp;TEXT(7,"000"))</f>
        <v/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 ht="22" customHeight="1">
      <c r="A11" s="7" t="n">
        <v>8</v>
      </c>
      <c r="B11" s="8" t="n"/>
      <c r="C11" s="9">
        <f>IF(B11="","",B11&amp;"-LM-"&amp;TEXT(8,"000"))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</row>
    <row r="12" ht="22" customHeight="1">
      <c r="A12" s="4" t="n">
        <v>9</v>
      </c>
      <c r="B12" s="5" t="n"/>
      <c r="C12" s="6">
        <f>IF(B12="","",B12&amp;"-LM-"&amp;TEXT(9,"000"))</f>
        <v/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</row>
    <row r="13" ht="22" customHeight="1">
      <c r="A13" s="7" t="n">
        <v>10</v>
      </c>
      <c r="B13" s="8" t="n"/>
      <c r="C13" s="9">
        <f>IF(B13="","",B13&amp;"-LM-"&amp;TEXT(10,"000"))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</row>
    <row r="14" ht="22" customHeight="1">
      <c r="A14" s="4" t="n">
        <v>11</v>
      </c>
      <c r="B14" s="5" t="n"/>
      <c r="C14" s="6">
        <f>IF(B14="","",B14&amp;"-LM-"&amp;TEXT(11,"000"))</f>
        <v/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</row>
    <row r="15" ht="22" customHeight="1">
      <c r="A15" s="7" t="n">
        <v>12</v>
      </c>
      <c r="B15" s="8" t="n"/>
      <c r="C15" s="9">
        <f>IF(B15="","",B15&amp;"-LM-"&amp;TEXT(12,"000"))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</row>
    <row r="16" ht="22" customHeight="1">
      <c r="A16" s="4" t="n">
        <v>13</v>
      </c>
      <c r="B16" s="5" t="n"/>
      <c r="C16" s="6">
        <f>IF(B16="","",B16&amp;"-LM-"&amp;TEXT(13,"000"))</f>
        <v/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</row>
    <row r="17" ht="22" customHeight="1">
      <c r="A17" s="7" t="n">
        <v>14</v>
      </c>
      <c r="B17" s="8" t="n"/>
      <c r="C17" s="9">
        <f>IF(B17="","",B17&amp;"-LM-"&amp;TEXT(14,"000"))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</row>
    <row r="18" ht="22" customHeight="1">
      <c r="A18" s="4" t="n">
        <v>15</v>
      </c>
      <c r="B18" s="5" t="n"/>
      <c r="C18" s="6">
        <f>IF(B18="","",B18&amp;"-LM-"&amp;TEXT(15,"000"))</f>
        <v/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</row>
    <row r="19" ht="22" customHeight="1">
      <c r="A19" s="7" t="n">
        <v>16</v>
      </c>
      <c r="B19" s="8" t="n"/>
      <c r="C19" s="9">
        <f>IF(B19="","",B19&amp;"-LM-"&amp;TEXT(16,"000"))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</row>
    <row r="20" ht="22" customHeight="1">
      <c r="A20" s="4" t="n">
        <v>17</v>
      </c>
      <c r="B20" s="5" t="n"/>
      <c r="C20" s="6">
        <f>IF(B20="","",B20&amp;"-LM-"&amp;TEXT(17,"000"))</f>
        <v/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 ht="22" customHeight="1">
      <c r="A21" s="7" t="n">
        <v>18</v>
      </c>
      <c r="B21" s="8" t="n"/>
      <c r="C21" s="9">
        <f>IF(B21="","",B21&amp;"-LM-"&amp;TEXT(18,"000"))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</row>
    <row r="22" ht="22" customHeight="1">
      <c r="A22" s="4" t="n">
        <v>19</v>
      </c>
      <c r="B22" s="5" t="n"/>
      <c r="C22" s="6">
        <f>IF(B22="","",B22&amp;"-LM-"&amp;TEXT(19,"000"))</f>
        <v/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</row>
    <row r="23" ht="22" customHeight="1">
      <c r="A23" s="7" t="n">
        <v>20</v>
      </c>
      <c r="B23" s="8" t="n"/>
      <c r="C23" s="9">
        <f>IF(B23="","",B23&amp;"-LM-"&amp;TEXT(20,"000"))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</row>
    <row r="24" ht="22" customHeight="1">
      <c r="A24" s="4" t="n">
        <v>21</v>
      </c>
      <c r="B24" s="5" t="n"/>
      <c r="C24" s="6">
        <f>IF(B24="","",B24&amp;"-LM-"&amp;TEXT(21,"000"))</f>
        <v/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</row>
    <row r="25" ht="22" customHeight="1">
      <c r="A25" s="7" t="n">
        <v>22</v>
      </c>
      <c r="B25" s="8" t="n"/>
      <c r="C25" s="9">
        <f>IF(B25="","",B25&amp;"-LM-"&amp;TEXT(22,"000"))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</row>
    <row r="26" ht="22" customHeight="1">
      <c r="A26" s="4" t="n">
        <v>23</v>
      </c>
      <c r="B26" s="5" t="n"/>
      <c r="C26" s="6">
        <f>IF(B26="","",B26&amp;"-LM-"&amp;TEXT(23,"000"))</f>
        <v/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</row>
    <row r="27" ht="22" customHeight="1">
      <c r="A27" s="7" t="n">
        <v>24</v>
      </c>
      <c r="B27" s="8" t="n"/>
      <c r="C27" s="9">
        <f>IF(B27="","",B27&amp;"-LM-"&amp;TEXT(24,"000"))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</row>
    <row r="28" ht="22" customHeight="1">
      <c r="A28" s="4" t="n">
        <v>25</v>
      </c>
      <c r="B28" s="5" t="n"/>
      <c r="C28" s="6">
        <f>IF(B28="","",B28&amp;"-LM-"&amp;TEXT(25,"000"))</f>
        <v/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</row>
    <row r="29" ht="22" customHeight="1">
      <c r="A29" s="7" t="n">
        <v>26</v>
      </c>
      <c r="B29" s="8" t="n"/>
      <c r="C29" s="9">
        <f>IF(B29="","",B29&amp;"-LM-"&amp;TEXT(26,"000"))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</row>
    <row r="30" ht="22" customHeight="1">
      <c r="A30" s="4" t="n">
        <v>27</v>
      </c>
      <c r="B30" s="5" t="n"/>
      <c r="C30" s="6">
        <f>IF(B30="","",B30&amp;"-LM-"&amp;TEXT(27,"000"))</f>
        <v/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</row>
    <row r="31" ht="22" customHeight="1">
      <c r="A31" s="7" t="n">
        <v>28</v>
      </c>
      <c r="B31" s="8" t="n"/>
      <c r="C31" s="9">
        <f>IF(B31="","",B31&amp;"-LM-"&amp;TEXT(28,"000"))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</row>
    <row r="32" ht="22" customHeight="1">
      <c r="A32" s="4" t="n">
        <v>29</v>
      </c>
      <c r="B32" s="5" t="n"/>
      <c r="C32" s="6">
        <f>IF(B32="","",B32&amp;"-LM-"&amp;TEXT(29,"000"))</f>
        <v/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</row>
    <row r="33" ht="22" customHeight="1">
      <c r="A33" s="7" t="n">
        <v>30</v>
      </c>
      <c r="B33" s="8" t="n"/>
      <c r="C33" s="9">
        <f>IF(B33="","",B33&amp;"-LM-"&amp;TEXT(30,"000"))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</row>
    <row r="34" ht="22" customHeight="1">
      <c r="A34" s="4" t="n">
        <v>31</v>
      </c>
      <c r="B34" s="5" t="n"/>
      <c r="C34" s="6">
        <f>IF(B34="","",B34&amp;"-LM-"&amp;TEXT(31,"000"))</f>
        <v/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</row>
    <row r="35" ht="22" customHeight="1">
      <c r="A35" s="7" t="n">
        <v>32</v>
      </c>
      <c r="B35" s="8" t="n"/>
      <c r="C35" s="9">
        <f>IF(B35="","",B35&amp;"-LM-"&amp;TEXT(32,"000"))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</row>
    <row r="36" ht="22" customHeight="1">
      <c r="A36" s="4" t="n">
        <v>33</v>
      </c>
      <c r="B36" s="5" t="n"/>
      <c r="C36" s="6">
        <f>IF(B36="","",B36&amp;"-LM-"&amp;TEXT(33,"000"))</f>
        <v/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</row>
    <row r="37" ht="22" customHeight="1">
      <c r="A37" s="7" t="n">
        <v>34</v>
      </c>
      <c r="B37" s="8" t="n"/>
      <c r="C37" s="9">
        <f>IF(B37="","",B37&amp;"-LM-"&amp;TEXT(34,"000"))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</row>
    <row r="38" ht="22" customHeight="1">
      <c r="A38" s="4" t="n">
        <v>35</v>
      </c>
      <c r="B38" s="5" t="n"/>
      <c r="C38" s="6">
        <f>IF(B38="","",B38&amp;"-LM-"&amp;TEXT(35,"000"))</f>
        <v/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</row>
    <row r="39" ht="22" customHeight="1">
      <c r="A39" s="7" t="n">
        <v>36</v>
      </c>
      <c r="B39" s="8" t="n"/>
      <c r="C39" s="9">
        <f>IF(B39="","",B39&amp;"-LM-"&amp;TEXT(36,"000"))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</row>
    <row r="40" ht="22" customHeight="1">
      <c r="A40" s="4" t="n">
        <v>37</v>
      </c>
      <c r="B40" s="5" t="n"/>
      <c r="C40" s="6">
        <f>IF(B40="","",B40&amp;"-LM-"&amp;TEXT(37,"000"))</f>
        <v/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</row>
    <row r="41" ht="22" customHeight="1">
      <c r="A41" s="7" t="n">
        <v>38</v>
      </c>
      <c r="B41" s="8" t="n"/>
      <c r="C41" s="9">
        <f>IF(B41="","",B41&amp;"-LM-"&amp;TEXT(38,"000"))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</row>
    <row r="42" ht="22" customHeight="1">
      <c r="A42" s="4" t="n">
        <v>39</v>
      </c>
      <c r="B42" s="5" t="n"/>
      <c r="C42" s="6">
        <f>IF(B42="","",B42&amp;"-LM-"&amp;TEXT(39,"000"))</f>
        <v/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</row>
    <row r="43" ht="22" customHeight="1">
      <c r="A43" s="7" t="n">
        <v>40</v>
      </c>
      <c r="B43" s="8" t="n"/>
      <c r="C43" s="9">
        <f>IF(B43="","",B43&amp;"-LM-"&amp;TEXT(40,"000"))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</row>
    <row r="44" ht="22" customHeight="1">
      <c r="A44" s="4" t="n">
        <v>41</v>
      </c>
      <c r="B44" s="5" t="n"/>
      <c r="C44" s="6">
        <f>IF(B44="","",B44&amp;"-LM-"&amp;TEXT(41,"000"))</f>
        <v/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</row>
    <row r="45" ht="22" customHeight="1">
      <c r="A45" s="7" t="n">
        <v>42</v>
      </c>
      <c r="B45" s="8" t="n"/>
      <c r="C45" s="9">
        <f>IF(B45="","",B45&amp;"-LM-"&amp;TEXT(42,"000"))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</row>
    <row r="46" ht="22" customHeight="1">
      <c r="A46" s="4" t="n">
        <v>43</v>
      </c>
      <c r="B46" s="5" t="n"/>
      <c r="C46" s="6">
        <f>IF(B46="","",B46&amp;"-LM-"&amp;TEXT(43,"000"))</f>
        <v/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</row>
    <row r="47" ht="22" customHeight="1">
      <c r="A47" s="7" t="n">
        <v>44</v>
      </c>
      <c r="B47" s="8" t="n"/>
      <c r="C47" s="9">
        <f>IF(B47="","",B47&amp;"-LM-"&amp;TEXT(44,"000"))</f>
        <v/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</row>
    <row r="48" ht="22" customHeight="1">
      <c r="A48" s="4" t="n">
        <v>45</v>
      </c>
      <c r="B48" s="5" t="n"/>
      <c r="C48" s="6">
        <f>IF(B48="","",B48&amp;"-LM-"&amp;TEXT(45,"000"))</f>
        <v/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</row>
    <row r="49" ht="22" customHeight="1">
      <c r="A49" s="7" t="n">
        <v>46</v>
      </c>
      <c r="B49" s="8" t="n"/>
      <c r="C49" s="9">
        <f>IF(B49="","",B49&amp;"-LM-"&amp;TEXT(46,"000"))</f>
        <v/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</row>
    <row r="50" ht="22" customHeight="1">
      <c r="A50" s="4" t="n">
        <v>47</v>
      </c>
      <c r="B50" s="5" t="n"/>
      <c r="C50" s="6">
        <f>IF(B50="","",B50&amp;"-LM-"&amp;TEXT(47,"000"))</f>
        <v/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</row>
    <row r="51" ht="22" customHeight="1">
      <c r="A51" s="7" t="n">
        <v>48</v>
      </c>
      <c r="B51" s="8" t="n"/>
      <c r="C51" s="9">
        <f>IF(B51="","",B51&amp;"-LM-"&amp;TEXT(48,"000"))</f>
        <v/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</row>
    <row r="52" ht="22" customHeight="1">
      <c r="A52" s="4" t="n">
        <v>49</v>
      </c>
      <c r="B52" s="5" t="n"/>
      <c r="C52" s="6">
        <f>IF(B52="","",B52&amp;"-LM-"&amp;TEXT(49,"000"))</f>
        <v/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</row>
    <row r="53" ht="22" customHeight="1">
      <c r="A53" s="7" t="n">
        <v>50</v>
      </c>
      <c r="B53" s="8" t="n"/>
      <c r="C53" s="9">
        <f>IF(B53="","",B53&amp;"-LM-"&amp;TEXT(50,"000"))</f>
        <v/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</row>
    <row r="54" ht="22" customHeight="1">
      <c r="A54" s="4" t="n">
        <v>51</v>
      </c>
      <c r="B54" s="5" t="n"/>
      <c r="C54" s="6">
        <f>IF(B54="","",B54&amp;"-LM-"&amp;TEXT(51,"000"))</f>
        <v/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</row>
    <row r="55" ht="22" customHeight="1">
      <c r="A55" s="7" t="n">
        <v>52</v>
      </c>
      <c r="B55" s="8" t="n"/>
      <c r="C55" s="9">
        <f>IF(B55="","",B55&amp;"-LM-"&amp;TEXT(52,"000"))</f>
        <v/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</row>
    <row r="56" ht="22" customHeight="1">
      <c r="A56" s="4" t="n">
        <v>53</v>
      </c>
      <c r="B56" s="5" t="n"/>
      <c r="C56" s="6">
        <f>IF(B56="","",B56&amp;"-LM-"&amp;TEXT(53,"000"))</f>
        <v/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</row>
    <row r="57" ht="22" customHeight="1">
      <c r="A57" s="7" t="n">
        <v>54</v>
      </c>
      <c r="B57" s="8" t="n"/>
      <c r="C57" s="9">
        <f>IF(B57="","",B57&amp;"-LM-"&amp;TEXT(54,"000"))</f>
        <v/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</row>
    <row r="58" ht="22" customHeight="1">
      <c r="A58" s="4" t="n">
        <v>55</v>
      </c>
      <c r="B58" s="5" t="n"/>
      <c r="C58" s="6">
        <f>IF(B58="","",B58&amp;"-LM-"&amp;TEXT(55,"000"))</f>
        <v/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</row>
    <row r="59" ht="22" customHeight="1">
      <c r="A59" s="7" t="n">
        <v>56</v>
      </c>
      <c r="B59" s="8" t="n"/>
      <c r="C59" s="9">
        <f>IF(B59="","",B59&amp;"-LM-"&amp;TEXT(56,"000"))</f>
        <v/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</row>
    <row r="60" ht="22" customHeight="1">
      <c r="A60" s="4" t="n">
        <v>57</v>
      </c>
      <c r="B60" s="5" t="n"/>
      <c r="C60" s="6">
        <f>IF(B60="","",B60&amp;"-LM-"&amp;TEXT(57,"000"))</f>
        <v/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</row>
    <row r="61" ht="22" customHeight="1">
      <c r="A61" s="7" t="n">
        <v>58</v>
      </c>
      <c r="B61" s="8" t="n"/>
      <c r="C61" s="9">
        <f>IF(B61="","",B61&amp;"-LM-"&amp;TEXT(58,"000"))</f>
        <v/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</row>
    <row r="62" ht="22" customHeight="1">
      <c r="A62" s="4" t="n">
        <v>59</v>
      </c>
      <c r="B62" s="5" t="n"/>
      <c r="C62" s="6">
        <f>IF(B62="","",B62&amp;"-LM-"&amp;TEXT(59,"000"))</f>
        <v/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</row>
    <row r="63" ht="22" customHeight="1">
      <c r="A63" s="7" t="n">
        <v>60</v>
      </c>
      <c r="B63" s="8" t="n"/>
      <c r="C63" s="9">
        <f>IF(B63="","",B63&amp;"-LM-"&amp;TEXT(60,"000"))</f>
        <v/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</row>
    <row r="64" ht="22" customHeight="1">
      <c r="A64" s="4" t="n">
        <v>61</v>
      </c>
      <c r="B64" s="5" t="n"/>
      <c r="C64" s="6">
        <f>IF(B64="","",B64&amp;"-LM-"&amp;TEXT(61,"000"))</f>
        <v/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</row>
    <row r="65" ht="22" customHeight="1">
      <c r="A65" s="7" t="n">
        <v>62</v>
      </c>
      <c r="B65" s="8" t="n"/>
      <c r="C65" s="9">
        <f>IF(B65="","",B65&amp;"-LM-"&amp;TEXT(62,"000"))</f>
        <v/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</row>
    <row r="66" ht="22" customHeight="1">
      <c r="A66" s="4" t="n">
        <v>63</v>
      </c>
      <c r="B66" s="5" t="n"/>
      <c r="C66" s="6">
        <f>IF(B66="","",B66&amp;"-LM-"&amp;TEXT(63,"000"))</f>
        <v/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</row>
    <row r="67" ht="22" customHeight="1">
      <c r="A67" s="7" t="n">
        <v>64</v>
      </c>
      <c r="B67" s="8" t="n"/>
      <c r="C67" s="9">
        <f>IF(B67="","",B67&amp;"-LM-"&amp;TEXT(64,"000"))</f>
        <v/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</row>
    <row r="68" ht="22" customHeight="1">
      <c r="A68" s="4" t="n">
        <v>65</v>
      </c>
      <c r="B68" s="5" t="n"/>
      <c r="C68" s="6">
        <f>IF(B68="","",B68&amp;"-LM-"&amp;TEXT(65,"000"))</f>
        <v/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</row>
    <row r="69" ht="22" customHeight="1">
      <c r="A69" s="7" t="n">
        <v>66</v>
      </c>
      <c r="B69" s="8" t="n"/>
      <c r="C69" s="9">
        <f>IF(B69="","",B69&amp;"-LM-"&amp;TEXT(66,"000"))</f>
        <v/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</row>
    <row r="70" ht="22" customHeight="1">
      <c r="A70" s="4" t="n">
        <v>67</v>
      </c>
      <c r="B70" s="5" t="n"/>
      <c r="C70" s="6">
        <f>IF(B70="","",B70&amp;"-LM-"&amp;TEXT(67,"000"))</f>
        <v/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</row>
    <row r="71" ht="22" customHeight="1">
      <c r="A71" s="7" t="n">
        <v>68</v>
      </c>
      <c r="B71" s="8" t="n"/>
      <c r="C71" s="9">
        <f>IF(B71="","",B71&amp;"-LM-"&amp;TEXT(68,"000"))</f>
        <v/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</row>
    <row r="72" ht="22" customHeight="1">
      <c r="A72" s="4" t="n">
        <v>69</v>
      </c>
      <c r="B72" s="5" t="n"/>
      <c r="C72" s="6">
        <f>IF(B72="","",B72&amp;"-LM-"&amp;TEXT(69,"000"))</f>
        <v/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</row>
    <row r="73" ht="22" customHeight="1">
      <c r="A73" s="7" t="n">
        <v>70</v>
      </c>
      <c r="B73" s="8" t="n"/>
      <c r="C73" s="9">
        <f>IF(B73="","",B73&amp;"-LM-"&amp;TEXT(70,"000"))</f>
        <v/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</row>
    <row r="74" ht="22" customHeight="1">
      <c r="A74" s="4" t="n">
        <v>71</v>
      </c>
      <c r="B74" s="5" t="n"/>
      <c r="C74" s="6">
        <f>IF(B74="","",B74&amp;"-LM-"&amp;TEXT(71,"000"))</f>
        <v/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</row>
    <row r="75" ht="22" customHeight="1">
      <c r="A75" s="7" t="n">
        <v>72</v>
      </c>
      <c r="B75" s="8" t="n"/>
      <c r="C75" s="9">
        <f>IF(B75="","",B75&amp;"-LM-"&amp;TEXT(72,"000"))</f>
        <v/>
      </c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</row>
    <row r="76" ht="22" customHeight="1">
      <c r="A76" s="4" t="n">
        <v>73</v>
      </c>
      <c r="B76" s="5" t="n"/>
      <c r="C76" s="6">
        <f>IF(B76="","",B76&amp;"-LM-"&amp;TEXT(73,"000"))</f>
        <v/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</row>
    <row r="77" ht="22" customHeight="1">
      <c r="A77" s="7" t="n">
        <v>74</v>
      </c>
      <c r="B77" s="8" t="n"/>
      <c r="C77" s="9">
        <f>IF(B77="","",B77&amp;"-LM-"&amp;TEXT(74,"000"))</f>
        <v/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</row>
    <row r="78" ht="22" customHeight="1">
      <c r="A78" s="4" t="n">
        <v>75</v>
      </c>
      <c r="B78" s="5" t="n"/>
      <c r="C78" s="6">
        <f>IF(B78="","",B78&amp;"-LM-"&amp;TEXT(75,"000"))</f>
        <v/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</row>
    <row r="79" ht="22" customHeight="1">
      <c r="A79" s="7" t="n">
        <v>76</v>
      </c>
      <c r="B79" s="8" t="n"/>
      <c r="C79" s="9">
        <f>IF(B79="","",B79&amp;"-LM-"&amp;TEXT(76,"000"))</f>
        <v/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</row>
    <row r="80" ht="22" customHeight="1">
      <c r="A80" s="4" t="n">
        <v>77</v>
      </c>
      <c r="B80" s="5" t="n"/>
      <c r="C80" s="6">
        <f>IF(B80="","",B80&amp;"-LM-"&amp;TEXT(77,"000"))</f>
        <v/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</row>
    <row r="81" ht="22" customHeight="1">
      <c r="A81" s="7" t="n">
        <v>78</v>
      </c>
      <c r="B81" s="8" t="n"/>
      <c r="C81" s="9">
        <f>IF(B81="","",B81&amp;"-LM-"&amp;TEXT(78,"000"))</f>
        <v/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</row>
    <row r="82" ht="22" customHeight="1">
      <c r="A82" s="4" t="n">
        <v>79</v>
      </c>
      <c r="B82" s="5" t="n"/>
      <c r="C82" s="6">
        <f>IF(B82="","",B82&amp;"-LM-"&amp;TEXT(79,"000"))</f>
        <v/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</row>
    <row r="83" ht="22" customHeight="1">
      <c r="A83" s="7" t="n">
        <v>80</v>
      </c>
      <c r="B83" s="8" t="n"/>
      <c r="C83" s="9">
        <f>IF(B83="","",B83&amp;"-LM-"&amp;TEXT(80,"000"))</f>
        <v/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</row>
    <row r="84" ht="22" customHeight="1">
      <c r="A84" s="4" t="n">
        <v>81</v>
      </c>
      <c r="B84" s="5" t="n"/>
      <c r="C84" s="6">
        <f>IF(B84="","",B84&amp;"-LM-"&amp;TEXT(81,"000"))</f>
        <v/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</row>
    <row r="85" ht="22" customHeight="1">
      <c r="A85" s="7" t="n">
        <v>82</v>
      </c>
      <c r="B85" s="8" t="n"/>
      <c r="C85" s="9">
        <f>IF(B85="","",B85&amp;"-LM-"&amp;TEXT(82,"000"))</f>
        <v/>
      </c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</row>
    <row r="86" ht="22" customHeight="1">
      <c r="A86" s="4" t="n">
        <v>83</v>
      </c>
      <c r="B86" s="5" t="n"/>
      <c r="C86" s="6">
        <f>IF(B86="","",B86&amp;"-LM-"&amp;TEXT(83,"000"))</f>
        <v/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</row>
    <row r="87" ht="22" customHeight="1">
      <c r="A87" s="7" t="n">
        <v>84</v>
      </c>
      <c r="B87" s="8" t="n"/>
      <c r="C87" s="9">
        <f>IF(B87="","",B87&amp;"-LM-"&amp;TEXT(84,"000"))</f>
        <v/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</row>
    <row r="88" ht="22" customHeight="1">
      <c r="A88" s="4" t="n">
        <v>85</v>
      </c>
      <c r="B88" s="5" t="n"/>
      <c r="C88" s="6">
        <f>IF(B88="","",B88&amp;"-LM-"&amp;TEXT(85,"000"))</f>
        <v/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</row>
    <row r="89" ht="22" customHeight="1">
      <c r="A89" s="7" t="n">
        <v>86</v>
      </c>
      <c r="B89" s="8" t="n"/>
      <c r="C89" s="9">
        <f>IF(B89="","",B89&amp;"-LM-"&amp;TEXT(86,"000"))</f>
        <v/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</row>
    <row r="90" ht="22" customHeight="1">
      <c r="A90" s="4" t="n">
        <v>87</v>
      </c>
      <c r="B90" s="5" t="n"/>
      <c r="C90" s="6">
        <f>IF(B90="","",B90&amp;"-LM-"&amp;TEXT(87,"000"))</f>
        <v/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</row>
    <row r="91" ht="22" customHeight="1">
      <c r="A91" s="7" t="n">
        <v>88</v>
      </c>
      <c r="B91" s="8" t="n"/>
      <c r="C91" s="9">
        <f>IF(B91="","",B91&amp;"-LM-"&amp;TEXT(88,"000"))</f>
        <v/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</row>
    <row r="92" ht="22" customHeight="1">
      <c r="A92" s="4" t="n">
        <v>89</v>
      </c>
      <c r="B92" s="5" t="n"/>
      <c r="C92" s="6">
        <f>IF(B92="","",B92&amp;"-LM-"&amp;TEXT(89,"000"))</f>
        <v/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</row>
    <row r="93" ht="22" customHeight="1">
      <c r="A93" s="7" t="n">
        <v>90</v>
      </c>
      <c r="B93" s="8" t="n"/>
      <c r="C93" s="9">
        <f>IF(B93="","",B93&amp;"-LM-"&amp;TEXT(90,"000"))</f>
        <v/>
      </c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</row>
    <row r="94" ht="22" customHeight="1">
      <c r="A94" s="4" t="n">
        <v>91</v>
      </c>
      <c r="B94" s="5" t="n"/>
      <c r="C94" s="6">
        <f>IF(B94="","",B94&amp;"-LM-"&amp;TEXT(91,"000"))</f>
        <v/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</row>
    <row r="95" ht="22" customHeight="1">
      <c r="A95" s="7" t="n">
        <v>92</v>
      </c>
      <c r="B95" s="8" t="n"/>
      <c r="C95" s="9">
        <f>IF(B95="","",B95&amp;"-LM-"&amp;TEXT(92,"000"))</f>
        <v/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</row>
    <row r="96" ht="22" customHeight="1">
      <c r="A96" s="4" t="n">
        <v>93</v>
      </c>
      <c r="B96" s="5" t="n"/>
      <c r="C96" s="6">
        <f>IF(B96="","",B96&amp;"-LM-"&amp;TEXT(93,"000"))</f>
        <v/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</row>
    <row r="97" ht="22" customHeight="1">
      <c r="A97" s="7" t="n">
        <v>94</v>
      </c>
      <c r="B97" s="8" t="n"/>
      <c r="C97" s="9">
        <f>IF(B97="","",B97&amp;"-LM-"&amp;TEXT(94,"000"))</f>
        <v/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</row>
    <row r="98" ht="22" customHeight="1">
      <c r="A98" s="4" t="n">
        <v>95</v>
      </c>
      <c r="B98" s="5" t="n"/>
      <c r="C98" s="6">
        <f>IF(B98="","",B98&amp;"-LM-"&amp;TEXT(95,"000"))</f>
        <v/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</row>
    <row r="99" ht="22" customHeight="1">
      <c r="A99" s="7" t="n">
        <v>96</v>
      </c>
      <c r="B99" s="8" t="n"/>
      <c r="C99" s="9">
        <f>IF(B99="","",B99&amp;"-LM-"&amp;TEXT(96,"000"))</f>
        <v/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</row>
    <row r="100" ht="22" customHeight="1">
      <c r="A100" s="4" t="n">
        <v>97</v>
      </c>
      <c r="B100" s="5" t="n"/>
      <c r="C100" s="6">
        <f>IF(B100="","",B100&amp;"-LM-"&amp;TEXT(97,"000"))</f>
        <v/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</row>
    <row r="101" ht="22" customHeight="1">
      <c r="A101" s="7" t="n">
        <v>98</v>
      </c>
      <c r="B101" s="8" t="n"/>
      <c r="C101" s="9">
        <f>IF(B101="","",B101&amp;"-LM-"&amp;TEXT(98,"000"))</f>
        <v/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</row>
    <row r="102" ht="22" customHeight="1">
      <c r="A102" s="4" t="n">
        <v>99</v>
      </c>
      <c r="B102" s="5" t="n"/>
      <c r="C102" s="6">
        <f>IF(B102="","",B102&amp;"-LM-"&amp;TEXT(99,"000"))</f>
        <v/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</row>
    <row r="103" ht="22" customHeight="1">
      <c r="A103" s="7" t="n">
        <v>100</v>
      </c>
      <c r="B103" s="8" t="n"/>
      <c r="C103" s="9">
        <f>IF(B103="","",B103&amp;"-LM-"&amp;TEXT(100,"000"))</f>
        <v/>
      </c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</row>
  </sheetData>
  <mergeCells count="2">
    <mergeCell ref="A2:AD2"/>
    <mergeCell ref="A1:AD1"/>
  </mergeCells>
  <conditionalFormatting sqref="Z4:Z103">
    <cfRule type="containsText" priority="1" operator="containsText" dxfId="0" text="Active">
      <formula>NOT(ISERROR(SEARCH("Active",Z4)))</formula>
    </cfRule>
    <cfRule type="containsText" priority="2" operator="containsText" dxfId="0" text="Completed">
      <formula>NOT(ISERROR(SEARCH("Completed",Z4)))</formula>
    </cfRule>
    <cfRule type="containsText" priority="3" operator="containsText" dxfId="0" text="Approved">
      <formula>NOT(ISERROR(SEARCH("Approved",Z4)))</formula>
    </cfRule>
    <cfRule type="containsText" priority="4" operator="containsText" dxfId="0" text="Published">
      <formula>NOT(ISERROR(SEARCH("Published",Z4)))</formula>
    </cfRule>
    <cfRule type="containsText" priority="5" operator="containsText" dxfId="0" text="Live">
      <formula>NOT(ISERROR(SEARCH("Live",Z4)))</formula>
    </cfRule>
    <cfRule type="containsText" priority="6" operator="containsText" dxfId="0" text="Optimised">
      <formula>NOT(ISERROR(SEARCH("Optimised",Z4)))</formula>
    </cfRule>
    <cfRule type="containsText" priority="7" operator="containsText" dxfId="1" text="Cancelled">
      <formula>NOT(ISERROR(SEARCH("Cancelled",Z4)))</formula>
    </cfRule>
    <cfRule type="containsText" priority="8" operator="containsText" dxfId="1" text="Rejected">
      <formula>NOT(ISERROR(SEARCH("Rejected",Z4)))</formula>
    </cfRule>
    <cfRule type="containsText" priority="9" operator="containsText" dxfId="2" text="On Hold">
      <formula>NOT(ISERROR(SEARCH("On Hold",Z4)))</formula>
    </cfRule>
    <cfRule type="containsText" priority="10" operator="containsText" dxfId="2" text="Paused">
      <formula>NOT(ISERROR(SEARCH("Paused",Z4)))</formula>
    </cfRule>
    <cfRule type="containsText" priority="11" operator="containsText" dxfId="2" text="Revision">
      <formula>NOT(ISERROR(SEARCH("Revision",Z4)))</formula>
    </cfRule>
    <cfRule type="containsText" priority="12" operator="containsText" dxfId="2" text="Changes">
      <formula>NOT(ISERROR(SEARCH("Changes",Z4)))</formula>
    </cfRule>
    <cfRule type="containsText" priority="13" operator="containsText" dxfId="3" text="Planning">
      <formula>NOT(ISERROR(SEARCH("Planning",Z4)))</formula>
    </cfRule>
    <cfRule type="containsText" priority="14" operator="containsText" dxfId="3" text="Briefed">
      <formula>NOT(ISERROR(SEARCH("Briefed",Z4)))</formula>
    </cfRule>
    <cfRule type="containsText" priority="15" operator="containsText" dxfId="4" text="Progress">
      <formula>NOT(ISERROR(SEARCH("Progress",Z4)))</formula>
    </cfRule>
  </conditionalFormatting>
  <conditionalFormatting sqref="AA4:AA103">
    <cfRule type="containsText" priority="16" operator="containsText" dxfId="0" text="Approved">
      <formula>NOT(ISERROR(SEARCH("Approved",AA4)))</formula>
    </cfRule>
    <cfRule type="containsText" priority="17" operator="containsText" dxfId="1" text="Rejected">
      <formula>NOT(ISERROR(SEARCH("Rejected",AA4)))</formula>
    </cfRule>
    <cfRule type="containsText" priority="18" operator="containsText" dxfId="2" text="Changes">
      <formula>NOT(ISERROR(SEARCH("Changes",AA4)))</formula>
    </cfRule>
    <cfRule type="containsText" priority="19" operator="containsText" dxfId="3" text="Pending">
      <formula>NOT(ISERROR(SEARCH("Pending",AA4)))</formula>
    </cfRule>
  </conditionalFormatting>
  <conditionalFormatting sqref="AB4:AB103">
    <cfRule type="containsText" priority="20" operator="containsText" dxfId="0" text="Approved">
      <formula>NOT(ISERROR(SEARCH("Approved",AB4)))</formula>
    </cfRule>
    <cfRule type="containsText" priority="21" operator="containsText" dxfId="1" text="Rejected">
      <formula>NOT(ISERROR(SEARCH("Rejected",AB4)))</formula>
    </cfRule>
    <cfRule type="containsText" priority="22" operator="containsText" dxfId="2" text="Changes">
      <formula>NOT(ISERROR(SEARCH("Changes",AB4)))</formula>
    </cfRule>
    <cfRule type="containsText" priority="23" operator="containsText" dxfId="3" text="Pending">
      <formula>NOT(ISERROR(SEARCH("Pending",AB4)))</formula>
    </cfRule>
  </conditionalFormatting>
  <conditionalFormatting sqref="Y4:Y103">
    <cfRule type="containsText" priority="24" operator="containsText" dxfId="1" text="Critical">
      <formula>NOT(ISERROR(SEARCH("Critical",Y4)))</formula>
    </cfRule>
    <cfRule type="containsText" priority="25" operator="containsText" dxfId="2" text="High">
      <formula>NOT(ISERROR(SEARCH("High",Y4)))</formula>
    </cfRule>
    <cfRule type="containsText" priority="26" operator="containsText" dxfId="4" text="Medium">
      <formula>NOT(ISERROR(SEARCH("Medium",Y4)))</formula>
    </cfRule>
    <cfRule type="containsText" priority="27" operator="containsText" dxfId="0" text="Low">
      <formula>NOT(ISERROR(SEARCH("Low",Y4)))</formula>
    </cfRule>
  </conditionalFormatting>
  <dataValidations count="14">
    <dataValidation sqref="D4:D103" showDropDown="0" showInputMessage="1" showErrorMessage="1" allowBlank="1" errorTitle="Invalid" error="Select from dropdown." promptTitle="Vertical" prompt="Select vertical." type="list">
      <formula1>"Digital Transformation,Industrial Goods &amp; Consumer Products,Structural Engineering,MedTech,Energy &amp; Utilities,Sustainability,BFSI,Product Innovation,SolidPro AI,Other"</formula1>
    </dataValidation>
    <dataValidation sqref="Y4:Y103" showDropDown="0" showInputMessage="1" showErrorMessage="1" allowBlank="1" errorTitle="Invalid" error="Select from dropdown." promptTitle="Priority" prompt="Urgency level." type="list">
      <formula1>"🔴 Critical,🟠 High,🟡 Medium,🟢 Low"</formula1>
    </dataValidation>
    <dataValidation sqref="Z4:Z103" showDropDown="0" showInputMessage="1" showErrorMessage="1" allowBlank="1" errorTitle="Invalid" error="Select from dropdown." promptTitle="Status" prompt="Workflow status." type="list">
      <formula1>"📋 Briefed,✍ In Progress,🔁 In Revision,✅ Approved by Project Head,✅ Approved by Manager,🚀 Published / Live,⏸ On Hold,❌ Cancelled"</formula1>
    </dataValidation>
    <dataValidation sqref="AA4:AA103" showDropDown="0" showInputMessage="1" showErrorMessage="1" allowBlank="1" errorTitle="Invalid" error="Select from dropdown." promptTitle="PH Approval" prompt="Project Head approval." type="list">
      <formula1>"⏳ Pending,✅ Approved,🔁 Changes Requested,❌ Rejected"</formula1>
    </dataValidation>
    <dataValidation sqref="AB4:AB103" showDropDown="0" showInputMessage="1" showErrorMessage="1" allowBlank="1" errorTitle="Invalid" error="Select from dropdown." promptTitle="Mgr Approval" prompt="Manager approval." type="list">
      <formula1>"⏳ Pending,✅ Approved,🔁 Changes Requested,❌ Rejected"</formula1>
    </dataValidation>
    <dataValidation sqref="AD4:AD103" showDropDown="0" showInputMessage="1" showErrorMessage="1" allowBlank="1" errorTitle="Invalid" error="Select from dropdown." promptTitle="Archived" prompt="Mark Yes when done." type="list">
      <formula1>"No,Yes"</formula1>
    </dataValidation>
    <dataValidation sqref="U4:U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V4:V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W4:W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F4:F103" showDropDown="0" showInputMessage="1" showErrorMessage="1" allowBlank="1" errorTitle="Invalid" error="Select from dropdown." promptTitle="LM Type" prompt="Type of lead magnet." type="list">
      <formula1>"Downloadable PDF,Assessment / Quiz,Checklist,Template,Calculator Tool,eBook,Infographic Pack,Webinar Recording,Research Report,ROI Calculator,Comparison Guide,Other"</formula1>
    </dataValidation>
    <dataValidation sqref="H4:H103" showDropDown="0" showInputMessage="1" showErrorMessage="1" allowBlank="1" errorTitle="Invalid" error="Select from dropdown." promptTitle="Format" prompt="Delivery format." type="list">
      <formula1>"PDF,Interactive Web,Google Form,Typeform,HubSpot Form,Excel / Sheet,Video,Other"</formula1>
    </dataValidation>
    <dataValidation sqref="J4:J103" showDropDown="0" showInputMessage="1" showErrorMessage="1" allowBlank="1" errorTitle="Invalid" error="Select from dropdown." promptTitle="Funnel Stage" prompt="Where in funnel." type="list">
      <formula1>"TOFU – Awareness,MOFU – Consideration,BOFU – Decision,Retention"</formula1>
    </dataValidation>
    <dataValidation sqref="P4:P103" showDropDown="0" showInputMessage="1" showErrorMessage="1" allowBlank="1" errorTitle="Invalid" error="Select from dropdown." promptTitle="Gating" prompt="Form fill required?" type="list">
      <formula1>"Yes – Gated,No – Ungated,Partially Gated"</formula1>
    </dataValidation>
    <dataValidation sqref="R4:R103" showDropDown="0" showInputMessage="1" showErrorMessage="1" allowBlank="1" errorTitle="Invalid" error="Select from dropdown." promptTitle="Lead Routing" prompt="Where leads go." type="list">
      <formula1>"HubSpot,Zoho CRM,Google Sheet,Email Notification Only,Other"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0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2" customWidth="1" min="4" max="4"/>
    <col width="28" customWidth="1" min="5" max="5"/>
    <col width="16" customWidth="1" min="6" max="6"/>
    <col width="34" customWidth="1" min="7" max="7"/>
    <col width="28" customWidth="1" min="8" max="8"/>
    <col width="20" customWidth="1" min="9" max="9"/>
    <col width="26" customWidth="1" min="10" max="10"/>
    <col width="24" customWidth="1" min="11" max="11"/>
    <col width="16" customWidth="1" min="12" max="12"/>
    <col width="22" customWidth="1" min="13" max="13"/>
    <col width="28" customWidth="1" min="14" max="14"/>
    <col width="20" customWidth="1" min="15" max="15"/>
    <col width="20" customWidth="1" min="16" max="16"/>
    <col width="16" customWidth="1" min="17" max="17"/>
    <col width="20" customWidth="1" min="18" max="18"/>
    <col width="18" customWidth="1" min="19" max="19"/>
    <col width="18" customWidth="1" min="20" max="20"/>
    <col width="22" customWidth="1" min="21" max="21"/>
    <col width="14" customWidth="1" min="22" max="22"/>
    <col width="14" customWidth="1" min="23" max="23"/>
    <col width="14" customWidth="1" min="24" max="24"/>
    <col width="13" customWidth="1" min="25" max="25"/>
    <col width="26" customWidth="1" min="26" max="26"/>
    <col width="26" customWidth="1" min="27" max="27"/>
    <col width="22" customWidth="1" min="28" max="28"/>
    <col width="34" customWidth="1" min="29" max="29"/>
    <col width="12" customWidth="1" min="30" max="30"/>
  </cols>
  <sheetData>
    <row r="1" ht="36" customHeight="1">
      <c r="A1" s="14" t="inlineStr">
        <is>
          <t>SolidPro — Email Sequences Tracker  |  FILE 2 of 2</t>
        </is>
      </c>
    </row>
    <row r="2" ht="16" customHeight="1">
      <c r="A2" s="2" t="inlineStr">
        <is>
          <t>Asset ID format: CAMPID-EM-001  |  Each email in a sequence = one row  |  * = Mandatory</t>
        </is>
      </c>
    </row>
    <row r="3" ht="32" customHeight="1">
      <c r="A3" s="15" t="inlineStr">
        <is>
          <t>S.No</t>
        </is>
      </c>
      <c r="B3" s="15" t="inlineStr">
        <is>
          <t>Campaign ID *</t>
        </is>
      </c>
      <c r="C3" s="15" t="inlineStr">
        <is>
          <t>Asset ID</t>
        </is>
      </c>
      <c r="D3" s="15" t="inlineStr">
        <is>
          <t>Vertical *</t>
        </is>
      </c>
      <c r="E3" s="15" t="inlineStr">
        <is>
          <t>Sequence Name *</t>
        </is>
      </c>
      <c r="F3" s="15" t="inlineStr">
        <is>
          <t>Email # in Sequence</t>
        </is>
      </c>
      <c r="G3" s="15" t="inlineStr">
        <is>
          <t>Email Subject Line *</t>
        </is>
      </c>
      <c r="H3" s="15" t="inlineStr">
        <is>
          <t>Preview Text</t>
        </is>
      </c>
      <c r="I3" s="15" t="inlineStr">
        <is>
          <t>Email Type</t>
        </is>
      </c>
      <c r="J3" s="15" t="inlineStr">
        <is>
          <t>Trigger / Entry Point</t>
        </is>
      </c>
      <c r="K3" s="15" t="inlineStr">
        <is>
          <t>Audience Segment</t>
        </is>
      </c>
      <c r="L3" s="15" t="inlineStr">
        <is>
          <t>Send Day / Delay</t>
        </is>
      </c>
      <c r="M3" s="15" t="inlineStr">
        <is>
          <t>CTA in Email</t>
        </is>
      </c>
      <c r="N3" s="15" t="inlineStr">
        <is>
          <t>CTA URL</t>
        </is>
      </c>
      <c r="O3" s="15" t="inlineStr">
        <is>
          <t>Linked Lead Magnet ID</t>
        </is>
      </c>
      <c r="P3" s="15" t="inlineStr">
        <is>
          <t>Linked LP ID</t>
        </is>
      </c>
      <c r="Q3" s="15" t="inlineStr">
        <is>
          <t>ESP / Tool</t>
        </is>
      </c>
      <c r="R3" s="15" t="inlineStr">
        <is>
          <t>Template Used</t>
        </is>
      </c>
      <c r="S3" s="15" t="inlineStr">
        <is>
          <t>Open Rate Target (%)</t>
        </is>
      </c>
      <c r="T3" s="15" t="inlineStr">
        <is>
          <t>Click Rate Target (%)</t>
        </is>
      </c>
      <c r="U3" s="15" t="inlineStr">
        <is>
          <t>Content Writer *</t>
        </is>
      </c>
      <c r="V3" s="15" t="inlineStr">
        <is>
          <t>Brief Date</t>
        </is>
      </c>
      <c r="W3" s="15" t="inlineStr">
        <is>
          <t>Due Date *</t>
        </is>
      </c>
      <c r="X3" s="15" t="inlineStr">
        <is>
          <t>Pub / Go-Live Date *</t>
        </is>
      </c>
      <c r="Y3" s="15" t="inlineStr">
        <is>
          <t>Priority</t>
        </is>
      </c>
      <c r="Z3" s="15" t="inlineStr">
        <is>
          <t>Status</t>
        </is>
      </c>
      <c r="AA3" s="15" t="inlineStr">
        <is>
          <t>Approved by Project Head</t>
        </is>
      </c>
      <c r="AB3" s="15" t="inlineStr">
        <is>
          <t>Approved by Manager</t>
        </is>
      </c>
      <c r="AC3" s="15" t="inlineStr">
        <is>
          <t>Feedback / Notes</t>
        </is>
      </c>
      <c r="AD3" s="15" t="inlineStr">
        <is>
          <t>Archived?</t>
        </is>
      </c>
    </row>
    <row r="4" ht="22" customHeight="1">
      <c r="A4" s="4" t="n">
        <v>1</v>
      </c>
      <c r="B4" s="5" t="n"/>
      <c r="C4" s="6">
        <f>IF(B4="","",B4&amp;"-EM-"&amp;TEXT(1,"000"))</f>
        <v/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</row>
    <row r="5" ht="22" customHeight="1">
      <c r="A5" s="7" t="n">
        <v>2</v>
      </c>
      <c r="B5" s="8" t="n"/>
      <c r="C5" s="9">
        <f>IF(B5="","",B5&amp;"-EM-"&amp;TEXT(2,"000"))</f>
        <v/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</row>
    <row r="6" ht="22" customHeight="1">
      <c r="A6" s="4" t="n">
        <v>3</v>
      </c>
      <c r="B6" s="5" t="n"/>
      <c r="C6" s="6">
        <f>IF(B6="","",B6&amp;"-EM-"&amp;TEXT(3,"000"))</f>
        <v/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</row>
    <row r="7" ht="22" customHeight="1">
      <c r="A7" s="7" t="n">
        <v>4</v>
      </c>
      <c r="B7" s="8" t="n"/>
      <c r="C7" s="9">
        <f>IF(B7="","",B7&amp;"-EM-"&amp;TEXT(4,"000"))</f>
        <v/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</row>
    <row r="8" ht="22" customHeight="1">
      <c r="A8" s="4" t="n">
        <v>5</v>
      </c>
      <c r="B8" s="5" t="n"/>
      <c r="C8" s="6">
        <f>IF(B8="","",B8&amp;"-EM-"&amp;TEXT(5,"000"))</f>
        <v/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</row>
    <row r="9" ht="22" customHeight="1">
      <c r="A9" s="7" t="n">
        <v>6</v>
      </c>
      <c r="B9" s="8" t="n"/>
      <c r="C9" s="9">
        <f>IF(B9="","",B9&amp;"-EM-"&amp;TEXT(6,"000"))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</row>
    <row r="10" ht="22" customHeight="1">
      <c r="A10" s="4" t="n">
        <v>7</v>
      </c>
      <c r="B10" s="5" t="n"/>
      <c r="C10" s="6">
        <f>IF(B10="","",B10&amp;"-EM-"&amp;TEXT(7,"000"))</f>
        <v/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 ht="22" customHeight="1">
      <c r="A11" s="7" t="n">
        <v>8</v>
      </c>
      <c r="B11" s="8" t="n"/>
      <c r="C11" s="9">
        <f>IF(B11="","",B11&amp;"-EM-"&amp;TEXT(8,"000"))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</row>
    <row r="12" ht="22" customHeight="1">
      <c r="A12" s="4" t="n">
        <v>9</v>
      </c>
      <c r="B12" s="5" t="n"/>
      <c r="C12" s="6">
        <f>IF(B12="","",B12&amp;"-EM-"&amp;TEXT(9,"000"))</f>
        <v/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</row>
    <row r="13" ht="22" customHeight="1">
      <c r="A13" s="7" t="n">
        <v>10</v>
      </c>
      <c r="B13" s="8" t="n"/>
      <c r="C13" s="9">
        <f>IF(B13="","",B13&amp;"-EM-"&amp;TEXT(10,"000"))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</row>
    <row r="14" ht="22" customHeight="1">
      <c r="A14" s="4" t="n">
        <v>11</v>
      </c>
      <c r="B14" s="5" t="n"/>
      <c r="C14" s="6">
        <f>IF(B14="","",B14&amp;"-EM-"&amp;TEXT(11,"000"))</f>
        <v/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</row>
    <row r="15" ht="22" customHeight="1">
      <c r="A15" s="7" t="n">
        <v>12</v>
      </c>
      <c r="B15" s="8" t="n"/>
      <c r="C15" s="9">
        <f>IF(B15="","",B15&amp;"-EM-"&amp;TEXT(12,"000"))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</row>
    <row r="16" ht="22" customHeight="1">
      <c r="A16" s="4" t="n">
        <v>13</v>
      </c>
      <c r="B16" s="5" t="n"/>
      <c r="C16" s="6">
        <f>IF(B16="","",B16&amp;"-EM-"&amp;TEXT(13,"000"))</f>
        <v/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</row>
    <row r="17" ht="22" customHeight="1">
      <c r="A17" s="7" t="n">
        <v>14</v>
      </c>
      <c r="B17" s="8" t="n"/>
      <c r="C17" s="9">
        <f>IF(B17="","",B17&amp;"-EM-"&amp;TEXT(14,"000"))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</row>
    <row r="18" ht="22" customHeight="1">
      <c r="A18" s="4" t="n">
        <v>15</v>
      </c>
      <c r="B18" s="5" t="n"/>
      <c r="C18" s="6">
        <f>IF(B18="","",B18&amp;"-EM-"&amp;TEXT(15,"000"))</f>
        <v/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</row>
    <row r="19" ht="22" customHeight="1">
      <c r="A19" s="7" t="n">
        <v>16</v>
      </c>
      <c r="B19" s="8" t="n"/>
      <c r="C19" s="9">
        <f>IF(B19="","",B19&amp;"-EM-"&amp;TEXT(16,"000"))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</row>
    <row r="20" ht="22" customHeight="1">
      <c r="A20" s="4" t="n">
        <v>17</v>
      </c>
      <c r="B20" s="5" t="n"/>
      <c r="C20" s="6">
        <f>IF(B20="","",B20&amp;"-EM-"&amp;TEXT(17,"000"))</f>
        <v/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 ht="22" customHeight="1">
      <c r="A21" s="7" t="n">
        <v>18</v>
      </c>
      <c r="B21" s="8" t="n"/>
      <c r="C21" s="9">
        <f>IF(B21="","",B21&amp;"-EM-"&amp;TEXT(18,"000"))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</row>
    <row r="22" ht="22" customHeight="1">
      <c r="A22" s="4" t="n">
        <v>19</v>
      </c>
      <c r="B22" s="5" t="n"/>
      <c r="C22" s="6">
        <f>IF(B22="","",B22&amp;"-EM-"&amp;TEXT(19,"000"))</f>
        <v/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</row>
    <row r="23" ht="22" customHeight="1">
      <c r="A23" s="7" t="n">
        <v>20</v>
      </c>
      <c r="B23" s="8" t="n"/>
      <c r="C23" s="9">
        <f>IF(B23="","",B23&amp;"-EM-"&amp;TEXT(20,"000"))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</row>
    <row r="24" ht="22" customHeight="1">
      <c r="A24" s="4" t="n">
        <v>21</v>
      </c>
      <c r="B24" s="5" t="n"/>
      <c r="C24" s="6">
        <f>IF(B24="","",B24&amp;"-EM-"&amp;TEXT(21,"000"))</f>
        <v/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</row>
    <row r="25" ht="22" customHeight="1">
      <c r="A25" s="7" t="n">
        <v>22</v>
      </c>
      <c r="B25" s="8" t="n"/>
      <c r="C25" s="9">
        <f>IF(B25="","",B25&amp;"-EM-"&amp;TEXT(22,"000"))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</row>
    <row r="26" ht="22" customHeight="1">
      <c r="A26" s="4" t="n">
        <v>23</v>
      </c>
      <c r="B26" s="5" t="n"/>
      <c r="C26" s="6">
        <f>IF(B26="","",B26&amp;"-EM-"&amp;TEXT(23,"000"))</f>
        <v/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</row>
    <row r="27" ht="22" customHeight="1">
      <c r="A27" s="7" t="n">
        <v>24</v>
      </c>
      <c r="B27" s="8" t="n"/>
      <c r="C27" s="9">
        <f>IF(B27="","",B27&amp;"-EM-"&amp;TEXT(24,"000"))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</row>
    <row r="28" ht="22" customHeight="1">
      <c r="A28" s="4" t="n">
        <v>25</v>
      </c>
      <c r="B28" s="5" t="n"/>
      <c r="C28" s="6">
        <f>IF(B28="","",B28&amp;"-EM-"&amp;TEXT(25,"000"))</f>
        <v/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</row>
    <row r="29" ht="22" customHeight="1">
      <c r="A29" s="7" t="n">
        <v>26</v>
      </c>
      <c r="B29" s="8" t="n"/>
      <c r="C29" s="9">
        <f>IF(B29="","",B29&amp;"-EM-"&amp;TEXT(26,"000"))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</row>
    <row r="30" ht="22" customHeight="1">
      <c r="A30" s="4" t="n">
        <v>27</v>
      </c>
      <c r="B30" s="5" t="n"/>
      <c r="C30" s="6">
        <f>IF(B30="","",B30&amp;"-EM-"&amp;TEXT(27,"000"))</f>
        <v/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</row>
    <row r="31" ht="22" customHeight="1">
      <c r="A31" s="7" t="n">
        <v>28</v>
      </c>
      <c r="B31" s="8" t="n"/>
      <c r="C31" s="9">
        <f>IF(B31="","",B31&amp;"-EM-"&amp;TEXT(28,"000"))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</row>
    <row r="32" ht="22" customHeight="1">
      <c r="A32" s="4" t="n">
        <v>29</v>
      </c>
      <c r="B32" s="5" t="n"/>
      <c r="C32" s="6">
        <f>IF(B32="","",B32&amp;"-EM-"&amp;TEXT(29,"000"))</f>
        <v/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</row>
    <row r="33" ht="22" customHeight="1">
      <c r="A33" s="7" t="n">
        <v>30</v>
      </c>
      <c r="B33" s="8" t="n"/>
      <c r="C33" s="9">
        <f>IF(B33="","",B33&amp;"-EM-"&amp;TEXT(30,"000"))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</row>
    <row r="34" ht="22" customHeight="1">
      <c r="A34" s="4" t="n">
        <v>31</v>
      </c>
      <c r="B34" s="5" t="n"/>
      <c r="C34" s="6">
        <f>IF(B34="","",B34&amp;"-EM-"&amp;TEXT(31,"000"))</f>
        <v/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</row>
    <row r="35" ht="22" customHeight="1">
      <c r="A35" s="7" t="n">
        <v>32</v>
      </c>
      <c r="B35" s="8" t="n"/>
      <c r="C35" s="9">
        <f>IF(B35="","",B35&amp;"-EM-"&amp;TEXT(32,"000"))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</row>
    <row r="36" ht="22" customHeight="1">
      <c r="A36" s="4" t="n">
        <v>33</v>
      </c>
      <c r="B36" s="5" t="n"/>
      <c r="C36" s="6">
        <f>IF(B36="","",B36&amp;"-EM-"&amp;TEXT(33,"000"))</f>
        <v/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</row>
    <row r="37" ht="22" customHeight="1">
      <c r="A37" s="7" t="n">
        <v>34</v>
      </c>
      <c r="B37" s="8" t="n"/>
      <c r="C37" s="9">
        <f>IF(B37="","",B37&amp;"-EM-"&amp;TEXT(34,"000"))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</row>
    <row r="38" ht="22" customHeight="1">
      <c r="A38" s="4" t="n">
        <v>35</v>
      </c>
      <c r="B38" s="5" t="n"/>
      <c r="C38" s="6">
        <f>IF(B38="","",B38&amp;"-EM-"&amp;TEXT(35,"000"))</f>
        <v/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</row>
    <row r="39" ht="22" customHeight="1">
      <c r="A39" s="7" t="n">
        <v>36</v>
      </c>
      <c r="B39" s="8" t="n"/>
      <c r="C39" s="9">
        <f>IF(B39="","",B39&amp;"-EM-"&amp;TEXT(36,"000"))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</row>
    <row r="40" ht="22" customHeight="1">
      <c r="A40" s="4" t="n">
        <v>37</v>
      </c>
      <c r="B40" s="5" t="n"/>
      <c r="C40" s="6">
        <f>IF(B40="","",B40&amp;"-EM-"&amp;TEXT(37,"000"))</f>
        <v/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</row>
    <row r="41" ht="22" customHeight="1">
      <c r="A41" s="7" t="n">
        <v>38</v>
      </c>
      <c r="B41" s="8" t="n"/>
      <c r="C41" s="9">
        <f>IF(B41="","",B41&amp;"-EM-"&amp;TEXT(38,"000"))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</row>
    <row r="42" ht="22" customHeight="1">
      <c r="A42" s="4" t="n">
        <v>39</v>
      </c>
      <c r="B42" s="5" t="n"/>
      <c r="C42" s="6">
        <f>IF(B42="","",B42&amp;"-EM-"&amp;TEXT(39,"000"))</f>
        <v/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</row>
    <row r="43" ht="22" customHeight="1">
      <c r="A43" s="7" t="n">
        <v>40</v>
      </c>
      <c r="B43" s="8" t="n"/>
      <c r="C43" s="9">
        <f>IF(B43="","",B43&amp;"-EM-"&amp;TEXT(40,"000"))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</row>
    <row r="44" ht="22" customHeight="1">
      <c r="A44" s="4" t="n">
        <v>41</v>
      </c>
      <c r="B44" s="5" t="n"/>
      <c r="C44" s="6">
        <f>IF(B44="","",B44&amp;"-EM-"&amp;TEXT(41,"000"))</f>
        <v/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</row>
    <row r="45" ht="22" customHeight="1">
      <c r="A45" s="7" t="n">
        <v>42</v>
      </c>
      <c r="B45" s="8" t="n"/>
      <c r="C45" s="9">
        <f>IF(B45="","",B45&amp;"-EM-"&amp;TEXT(42,"000"))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</row>
    <row r="46" ht="22" customHeight="1">
      <c r="A46" s="4" t="n">
        <v>43</v>
      </c>
      <c r="B46" s="5" t="n"/>
      <c r="C46" s="6">
        <f>IF(B46="","",B46&amp;"-EM-"&amp;TEXT(43,"000"))</f>
        <v/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</row>
    <row r="47" ht="22" customHeight="1">
      <c r="A47" s="7" t="n">
        <v>44</v>
      </c>
      <c r="B47" s="8" t="n"/>
      <c r="C47" s="9">
        <f>IF(B47="","",B47&amp;"-EM-"&amp;TEXT(44,"000"))</f>
        <v/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</row>
    <row r="48" ht="22" customHeight="1">
      <c r="A48" s="4" t="n">
        <v>45</v>
      </c>
      <c r="B48" s="5" t="n"/>
      <c r="C48" s="6">
        <f>IF(B48="","",B48&amp;"-EM-"&amp;TEXT(45,"000"))</f>
        <v/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</row>
    <row r="49" ht="22" customHeight="1">
      <c r="A49" s="7" t="n">
        <v>46</v>
      </c>
      <c r="B49" s="8" t="n"/>
      <c r="C49" s="9">
        <f>IF(B49="","",B49&amp;"-EM-"&amp;TEXT(46,"000"))</f>
        <v/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</row>
    <row r="50" ht="22" customHeight="1">
      <c r="A50" s="4" t="n">
        <v>47</v>
      </c>
      <c r="B50" s="5" t="n"/>
      <c r="C50" s="6">
        <f>IF(B50="","",B50&amp;"-EM-"&amp;TEXT(47,"000"))</f>
        <v/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</row>
    <row r="51" ht="22" customHeight="1">
      <c r="A51" s="7" t="n">
        <v>48</v>
      </c>
      <c r="B51" s="8" t="n"/>
      <c r="C51" s="9">
        <f>IF(B51="","",B51&amp;"-EM-"&amp;TEXT(48,"000"))</f>
        <v/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</row>
    <row r="52" ht="22" customHeight="1">
      <c r="A52" s="4" t="n">
        <v>49</v>
      </c>
      <c r="B52" s="5" t="n"/>
      <c r="C52" s="6">
        <f>IF(B52="","",B52&amp;"-EM-"&amp;TEXT(49,"000"))</f>
        <v/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</row>
    <row r="53" ht="22" customHeight="1">
      <c r="A53" s="7" t="n">
        <v>50</v>
      </c>
      <c r="B53" s="8" t="n"/>
      <c r="C53" s="9">
        <f>IF(B53="","",B53&amp;"-EM-"&amp;TEXT(50,"000"))</f>
        <v/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</row>
    <row r="54" ht="22" customHeight="1">
      <c r="A54" s="4" t="n">
        <v>51</v>
      </c>
      <c r="B54" s="5" t="n"/>
      <c r="C54" s="6">
        <f>IF(B54="","",B54&amp;"-EM-"&amp;TEXT(51,"000"))</f>
        <v/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</row>
    <row r="55" ht="22" customHeight="1">
      <c r="A55" s="7" t="n">
        <v>52</v>
      </c>
      <c r="B55" s="8" t="n"/>
      <c r="C55" s="9">
        <f>IF(B55="","",B55&amp;"-EM-"&amp;TEXT(52,"000"))</f>
        <v/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</row>
    <row r="56" ht="22" customHeight="1">
      <c r="A56" s="4" t="n">
        <v>53</v>
      </c>
      <c r="B56" s="5" t="n"/>
      <c r="C56" s="6">
        <f>IF(B56="","",B56&amp;"-EM-"&amp;TEXT(53,"000"))</f>
        <v/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</row>
    <row r="57" ht="22" customHeight="1">
      <c r="A57" s="7" t="n">
        <v>54</v>
      </c>
      <c r="B57" s="8" t="n"/>
      <c r="C57" s="9">
        <f>IF(B57="","",B57&amp;"-EM-"&amp;TEXT(54,"000"))</f>
        <v/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</row>
    <row r="58" ht="22" customHeight="1">
      <c r="A58" s="4" t="n">
        <v>55</v>
      </c>
      <c r="B58" s="5" t="n"/>
      <c r="C58" s="6">
        <f>IF(B58="","",B58&amp;"-EM-"&amp;TEXT(55,"000"))</f>
        <v/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</row>
    <row r="59" ht="22" customHeight="1">
      <c r="A59" s="7" t="n">
        <v>56</v>
      </c>
      <c r="B59" s="8" t="n"/>
      <c r="C59" s="9">
        <f>IF(B59="","",B59&amp;"-EM-"&amp;TEXT(56,"000"))</f>
        <v/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</row>
    <row r="60" ht="22" customHeight="1">
      <c r="A60" s="4" t="n">
        <v>57</v>
      </c>
      <c r="B60" s="5" t="n"/>
      <c r="C60" s="6">
        <f>IF(B60="","",B60&amp;"-EM-"&amp;TEXT(57,"000"))</f>
        <v/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</row>
    <row r="61" ht="22" customHeight="1">
      <c r="A61" s="7" t="n">
        <v>58</v>
      </c>
      <c r="B61" s="8" t="n"/>
      <c r="C61" s="9">
        <f>IF(B61="","",B61&amp;"-EM-"&amp;TEXT(58,"000"))</f>
        <v/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</row>
    <row r="62" ht="22" customHeight="1">
      <c r="A62" s="4" t="n">
        <v>59</v>
      </c>
      <c r="B62" s="5" t="n"/>
      <c r="C62" s="6">
        <f>IF(B62="","",B62&amp;"-EM-"&amp;TEXT(59,"000"))</f>
        <v/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</row>
    <row r="63" ht="22" customHeight="1">
      <c r="A63" s="7" t="n">
        <v>60</v>
      </c>
      <c r="B63" s="8" t="n"/>
      <c r="C63" s="9">
        <f>IF(B63="","",B63&amp;"-EM-"&amp;TEXT(60,"000"))</f>
        <v/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</row>
    <row r="64" ht="22" customHeight="1">
      <c r="A64" s="4" t="n">
        <v>61</v>
      </c>
      <c r="B64" s="5" t="n"/>
      <c r="C64" s="6">
        <f>IF(B64="","",B64&amp;"-EM-"&amp;TEXT(61,"000"))</f>
        <v/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</row>
    <row r="65" ht="22" customHeight="1">
      <c r="A65" s="7" t="n">
        <v>62</v>
      </c>
      <c r="B65" s="8" t="n"/>
      <c r="C65" s="9">
        <f>IF(B65="","",B65&amp;"-EM-"&amp;TEXT(62,"000"))</f>
        <v/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</row>
    <row r="66" ht="22" customHeight="1">
      <c r="A66" s="4" t="n">
        <v>63</v>
      </c>
      <c r="B66" s="5" t="n"/>
      <c r="C66" s="6">
        <f>IF(B66="","",B66&amp;"-EM-"&amp;TEXT(63,"000"))</f>
        <v/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</row>
    <row r="67" ht="22" customHeight="1">
      <c r="A67" s="7" t="n">
        <v>64</v>
      </c>
      <c r="B67" s="8" t="n"/>
      <c r="C67" s="9">
        <f>IF(B67="","",B67&amp;"-EM-"&amp;TEXT(64,"000"))</f>
        <v/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</row>
    <row r="68" ht="22" customHeight="1">
      <c r="A68" s="4" t="n">
        <v>65</v>
      </c>
      <c r="B68" s="5" t="n"/>
      <c r="C68" s="6">
        <f>IF(B68="","",B68&amp;"-EM-"&amp;TEXT(65,"000"))</f>
        <v/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</row>
    <row r="69" ht="22" customHeight="1">
      <c r="A69" s="7" t="n">
        <v>66</v>
      </c>
      <c r="B69" s="8" t="n"/>
      <c r="C69" s="9">
        <f>IF(B69="","",B69&amp;"-EM-"&amp;TEXT(66,"000"))</f>
        <v/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</row>
    <row r="70" ht="22" customHeight="1">
      <c r="A70" s="4" t="n">
        <v>67</v>
      </c>
      <c r="B70" s="5" t="n"/>
      <c r="C70" s="6">
        <f>IF(B70="","",B70&amp;"-EM-"&amp;TEXT(67,"000"))</f>
        <v/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</row>
    <row r="71" ht="22" customHeight="1">
      <c r="A71" s="7" t="n">
        <v>68</v>
      </c>
      <c r="B71" s="8" t="n"/>
      <c r="C71" s="9">
        <f>IF(B71="","",B71&amp;"-EM-"&amp;TEXT(68,"000"))</f>
        <v/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</row>
    <row r="72" ht="22" customHeight="1">
      <c r="A72" s="4" t="n">
        <v>69</v>
      </c>
      <c r="B72" s="5" t="n"/>
      <c r="C72" s="6">
        <f>IF(B72="","",B72&amp;"-EM-"&amp;TEXT(69,"000"))</f>
        <v/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</row>
    <row r="73" ht="22" customHeight="1">
      <c r="A73" s="7" t="n">
        <v>70</v>
      </c>
      <c r="B73" s="8" t="n"/>
      <c r="C73" s="9">
        <f>IF(B73="","",B73&amp;"-EM-"&amp;TEXT(70,"000"))</f>
        <v/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</row>
    <row r="74" ht="22" customHeight="1">
      <c r="A74" s="4" t="n">
        <v>71</v>
      </c>
      <c r="B74" s="5" t="n"/>
      <c r="C74" s="6">
        <f>IF(B74="","",B74&amp;"-EM-"&amp;TEXT(71,"000"))</f>
        <v/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</row>
    <row r="75" ht="22" customHeight="1">
      <c r="A75" s="7" t="n">
        <v>72</v>
      </c>
      <c r="B75" s="8" t="n"/>
      <c r="C75" s="9">
        <f>IF(B75="","",B75&amp;"-EM-"&amp;TEXT(72,"000"))</f>
        <v/>
      </c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</row>
    <row r="76" ht="22" customHeight="1">
      <c r="A76" s="4" t="n">
        <v>73</v>
      </c>
      <c r="B76" s="5" t="n"/>
      <c r="C76" s="6">
        <f>IF(B76="","",B76&amp;"-EM-"&amp;TEXT(73,"000"))</f>
        <v/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</row>
    <row r="77" ht="22" customHeight="1">
      <c r="A77" s="7" t="n">
        <v>74</v>
      </c>
      <c r="B77" s="8" t="n"/>
      <c r="C77" s="9">
        <f>IF(B77="","",B77&amp;"-EM-"&amp;TEXT(74,"000"))</f>
        <v/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</row>
    <row r="78" ht="22" customHeight="1">
      <c r="A78" s="4" t="n">
        <v>75</v>
      </c>
      <c r="B78" s="5" t="n"/>
      <c r="C78" s="6">
        <f>IF(B78="","",B78&amp;"-EM-"&amp;TEXT(75,"000"))</f>
        <v/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</row>
    <row r="79" ht="22" customHeight="1">
      <c r="A79" s="7" t="n">
        <v>76</v>
      </c>
      <c r="B79" s="8" t="n"/>
      <c r="C79" s="9">
        <f>IF(B79="","",B79&amp;"-EM-"&amp;TEXT(76,"000"))</f>
        <v/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</row>
    <row r="80" ht="22" customHeight="1">
      <c r="A80" s="4" t="n">
        <v>77</v>
      </c>
      <c r="B80" s="5" t="n"/>
      <c r="C80" s="6">
        <f>IF(B80="","",B80&amp;"-EM-"&amp;TEXT(77,"000"))</f>
        <v/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</row>
    <row r="81" ht="22" customHeight="1">
      <c r="A81" s="7" t="n">
        <v>78</v>
      </c>
      <c r="B81" s="8" t="n"/>
      <c r="C81" s="9">
        <f>IF(B81="","",B81&amp;"-EM-"&amp;TEXT(78,"000"))</f>
        <v/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</row>
    <row r="82" ht="22" customHeight="1">
      <c r="A82" s="4" t="n">
        <v>79</v>
      </c>
      <c r="B82" s="5" t="n"/>
      <c r="C82" s="6">
        <f>IF(B82="","",B82&amp;"-EM-"&amp;TEXT(79,"000"))</f>
        <v/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</row>
    <row r="83" ht="22" customHeight="1">
      <c r="A83" s="7" t="n">
        <v>80</v>
      </c>
      <c r="B83" s="8" t="n"/>
      <c r="C83" s="9">
        <f>IF(B83="","",B83&amp;"-EM-"&amp;TEXT(80,"000"))</f>
        <v/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</row>
    <row r="84" ht="22" customHeight="1">
      <c r="A84" s="4" t="n">
        <v>81</v>
      </c>
      <c r="B84" s="5" t="n"/>
      <c r="C84" s="6">
        <f>IF(B84="","",B84&amp;"-EM-"&amp;TEXT(81,"000"))</f>
        <v/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</row>
    <row r="85" ht="22" customHeight="1">
      <c r="A85" s="7" t="n">
        <v>82</v>
      </c>
      <c r="B85" s="8" t="n"/>
      <c r="C85" s="9">
        <f>IF(B85="","",B85&amp;"-EM-"&amp;TEXT(82,"000"))</f>
        <v/>
      </c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</row>
    <row r="86" ht="22" customHeight="1">
      <c r="A86" s="4" t="n">
        <v>83</v>
      </c>
      <c r="B86" s="5" t="n"/>
      <c r="C86" s="6">
        <f>IF(B86="","",B86&amp;"-EM-"&amp;TEXT(83,"000"))</f>
        <v/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</row>
    <row r="87" ht="22" customHeight="1">
      <c r="A87" s="7" t="n">
        <v>84</v>
      </c>
      <c r="B87" s="8" t="n"/>
      <c r="C87" s="9">
        <f>IF(B87="","",B87&amp;"-EM-"&amp;TEXT(84,"000"))</f>
        <v/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</row>
    <row r="88" ht="22" customHeight="1">
      <c r="A88" s="4" t="n">
        <v>85</v>
      </c>
      <c r="B88" s="5" t="n"/>
      <c r="C88" s="6">
        <f>IF(B88="","",B88&amp;"-EM-"&amp;TEXT(85,"000"))</f>
        <v/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</row>
    <row r="89" ht="22" customHeight="1">
      <c r="A89" s="7" t="n">
        <v>86</v>
      </c>
      <c r="B89" s="8" t="n"/>
      <c r="C89" s="9">
        <f>IF(B89="","",B89&amp;"-EM-"&amp;TEXT(86,"000"))</f>
        <v/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</row>
    <row r="90" ht="22" customHeight="1">
      <c r="A90" s="4" t="n">
        <v>87</v>
      </c>
      <c r="B90" s="5" t="n"/>
      <c r="C90" s="6">
        <f>IF(B90="","",B90&amp;"-EM-"&amp;TEXT(87,"000"))</f>
        <v/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</row>
    <row r="91" ht="22" customHeight="1">
      <c r="A91" s="7" t="n">
        <v>88</v>
      </c>
      <c r="B91" s="8" t="n"/>
      <c r="C91" s="9">
        <f>IF(B91="","",B91&amp;"-EM-"&amp;TEXT(88,"000"))</f>
        <v/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</row>
    <row r="92" ht="22" customHeight="1">
      <c r="A92" s="4" t="n">
        <v>89</v>
      </c>
      <c r="B92" s="5" t="n"/>
      <c r="C92" s="6">
        <f>IF(B92="","",B92&amp;"-EM-"&amp;TEXT(89,"000"))</f>
        <v/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</row>
    <row r="93" ht="22" customHeight="1">
      <c r="A93" s="7" t="n">
        <v>90</v>
      </c>
      <c r="B93" s="8" t="n"/>
      <c r="C93" s="9">
        <f>IF(B93="","",B93&amp;"-EM-"&amp;TEXT(90,"000"))</f>
        <v/>
      </c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</row>
    <row r="94" ht="22" customHeight="1">
      <c r="A94" s="4" t="n">
        <v>91</v>
      </c>
      <c r="B94" s="5" t="n"/>
      <c r="C94" s="6">
        <f>IF(B94="","",B94&amp;"-EM-"&amp;TEXT(91,"000"))</f>
        <v/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</row>
    <row r="95" ht="22" customHeight="1">
      <c r="A95" s="7" t="n">
        <v>92</v>
      </c>
      <c r="B95" s="8" t="n"/>
      <c r="C95" s="9">
        <f>IF(B95="","",B95&amp;"-EM-"&amp;TEXT(92,"000"))</f>
        <v/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</row>
    <row r="96" ht="22" customHeight="1">
      <c r="A96" s="4" t="n">
        <v>93</v>
      </c>
      <c r="B96" s="5" t="n"/>
      <c r="C96" s="6">
        <f>IF(B96="","",B96&amp;"-EM-"&amp;TEXT(93,"000"))</f>
        <v/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</row>
    <row r="97" ht="22" customHeight="1">
      <c r="A97" s="7" t="n">
        <v>94</v>
      </c>
      <c r="B97" s="8" t="n"/>
      <c r="C97" s="9">
        <f>IF(B97="","",B97&amp;"-EM-"&amp;TEXT(94,"000"))</f>
        <v/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</row>
    <row r="98" ht="22" customHeight="1">
      <c r="A98" s="4" t="n">
        <v>95</v>
      </c>
      <c r="B98" s="5" t="n"/>
      <c r="C98" s="6">
        <f>IF(B98="","",B98&amp;"-EM-"&amp;TEXT(95,"000"))</f>
        <v/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</row>
    <row r="99" ht="22" customHeight="1">
      <c r="A99" s="7" t="n">
        <v>96</v>
      </c>
      <c r="B99" s="8" t="n"/>
      <c r="C99" s="9">
        <f>IF(B99="","",B99&amp;"-EM-"&amp;TEXT(96,"000"))</f>
        <v/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</row>
    <row r="100" ht="22" customHeight="1">
      <c r="A100" s="4" t="n">
        <v>97</v>
      </c>
      <c r="B100" s="5" t="n"/>
      <c r="C100" s="6">
        <f>IF(B100="","",B100&amp;"-EM-"&amp;TEXT(97,"000"))</f>
        <v/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</row>
    <row r="101" ht="22" customHeight="1">
      <c r="A101" s="7" t="n">
        <v>98</v>
      </c>
      <c r="B101" s="8" t="n"/>
      <c r="C101" s="9">
        <f>IF(B101="","",B101&amp;"-EM-"&amp;TEXT(98,"000"))</f>
        <v/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</row>
    <row r="102" ht="22" customHeight="1">
      <c r="A102" s="4" t="n">
        <v>99</v>
      </c>
      <c r="B102" s="5" t="n"/>
      <c r="C102" s="6">
        <f>IF(B102="","",B102&amp;"-EM-"&amp;TEXT(99,"000"))</f>
        <v/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</row>
    <row r="103" ht="22" customHeight="1">
      <c r="A103" s="7" t="n">
        <v>100</v>
      </c>
      <c r="B103" s="8" t="n"/>
      <c r="C103" s="9">
        <f>IF(B103="","",B103&amp;"-EM-"&amp;TEXT(100,"000"))</f>
        <v/>
      </c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</row>
  </sheetData>
  <mergeCells count="2">
    <mergeCell ref="A2:AD2"/>
    <mergeCell ref="A1:AD1"/>
  </mergeCells>
  <conditionalFormatting sqref="Z4:Z103">
    <cfRule type="containsText" priority="1" operator="containsText" dxfId="0" text="Active">
      <formula>NOT(ISERROR(SEARCH("Active",Z4)))</formula>
    </cfRule>
    <cfRule type="containsText" priority="2" operator="containsText" dxfId="0" text="Completed">
      <formula>NOT(ISERROR(SEARCH("Completed",Z4)))</formula>
    </cfRule>
    <cfRule type="containsText" priority="3" operator="containsText" dxfId="0" text="Approved">
      <formula>NOT(ISERROR(SEARCH("Approved",Z4)))</formula>
    </cfRule>
    <cfRule type="containsText" priority="4" operator="containsText" dxfId="0" text="Published">
      <formula>NOT(ISERROR(SEARCH("Published",Z4)))</formula>
    </cfRule>
    <cfRule type="containsText" priority="5" operator="containsText" dxfId="0" text="Live">
      <formula>NOT(ISERROR(SEARCH("Live",Z4)))</formula>
    </cfRule>
    <cfRule type="containsText" priority="6" operator="containsText" dxfId="0" text="Optimised">
      <formula>NOT(ISERROR(SEARCH("Optimised",Z4)))</formula>
    </cfRule>
    <cfRule type="containsText" priority="7" operator="containsText" dxfId="1" text="Cancelled">
      <formula>NOT(ISERROR(SEARCH("Cancelled",Z4)))</formula>
    </cfRule>
    <cfRule type="containsText" priority="8" operator="containsText" dxfId="1" text="Rejected">
      <formula>NOT(ISERROR(SEARCH("Rejected",Z4)))</formula>
    </cfRule>
    <cfRule type="containsText" priority="9" operator="containsText" dxfId="2" text="On Hold">
      <formula>NOT(ISERROR(SEARCH("On Hold",Z4)))</formula>
    </cfRule>
    <cfRule type="containsText" priority="10" operator="containsText" dxfId="2" text="Paused">
      <formula>NOT(ISERROR(SEARCH("Paused",Z4)))</formula>
    </cfRule>
    <cfRule type="containsText" priority="11" operator="containsText" dxfId="2" text="Revision">
      <formula>NOT(ISERROR(SEARCH("Revision",Z4)))</formula>
    </cfRule>
    <cfRule type="containsText" priority="12" operator="containsText" dxfId="2" text="Changes">
      <formula>NOT(ISERROR(SEARCH("Changes",Z4)))</formula>
    </cfRule>
    <cfRule type="containsText" priority="13" operator="containsText" dxfId="3" text="Planning">
      <formula>NOT(ISERROR(SEARCH("Planning",Z4)))</formula>
    </cfRule>
    <cfRule type="containsText" priority="14" operator="containsText" dxfId="3" text="Briefed">
      <formula>NOT(ISERROR(SEARCH("Briefed",Z4)))</formula>
    </cfRule>
    <cfRule type="containsText" priority="15" operator="containsText" dxfId="4" text="Progress">
      <formula>NOT(ISERROR(SEARCH("Progress",Z4)))</formula>
    </cfRule>
  </conditionalFormatting>
  <conditionalFormatting sqref="AA4:AA103">
    <cfRule type="containsText" priority="16" operator="containsText" dxfId="0" text="Approved">
      <formula>NOT(ISERROR(SEARCH("Approved",AA4)))</formula>
    </cfRule>
    <cfRule type="containsText" priority="17" operator="containsText" dxfId="1" text="Rejected">
      <formula>NOT(ISERROR(SEARCH("Rejected",AA4)))</formula>
    </cfRule>
    <cfRule type="containsText" priority="18" operator="containsText" dxfId="2" text="Changes">
      <formula>NOT(ISERROR(SEARCH("Changes",AA4)))</formula>
    </cfRule>
    <cfRule type="containsText" priority="19" operator="containsText" dxfId="3" text="Pending">
      <formula>NOT(ISERROR(SEARCH("Pending",AA4)))</formula>
    </cfRule>
  </conditionalFormatting>
  <conditionalFormatting sqref="AB4:AB103">
    <cfRule type="containsText" priority="20" operator="containsText" dxfId="0" text="Approved">
      <formula>NOT(ISERROR(SEARCH("Approved",AB4)))</formula>
    </cfRule>
    <cfRule type="containsText" priority="21" operator="containsText" dxfId="1" text="Rejected">
      <formula>NOT(ISERROR(SEARCH("Rejected",AB4)))</formula>
    </cfRule>
    <cfRule type="containsText" priority="22" operator="containsText" dxfId="2" text="Changes">
      <formula>NOT(ISERROR(SEARCH("Changes",AB4)))</formula>
    </cfRule>
    <cfRule type="containsText" priority="23" operator="containsText" dxfId="3" text="Pending">
      <formula>NOT(ISERROR(SEARCH("Pending",AB4)))</formula>
    </cfRule>
  </conditionalFormatting>
  <conditionalFormatting sqref="Y4:Y103">
    <cfRule type="containsText" priority="24" operator="containsText" dxfId="1" text="Critical">
      <formula>NOT(ISERROR(SEARCH("Critical",Y4)))</formula>
    </cfRule>
    <cfRule type="containsText" priority="25" operator="containsText" dxfId="2" text="High">
      <formula>NOT(ISERROR(SEARCH("High",Y4)))</formula>
    </cfRule>
    <cfRule type="containsText" priority="26" operator="containsText" dxfId="4" text="Medium">
      <formula>NOT(ISERROR(SEARCH("Medium",Y4)))</formula>
    </cfRule>
    <cfRule type="containsText" priority="27" operator="containsText" dxfId="0" text="Low">
      <formula>NOT(ISERROR(SEARCH("Low",Y4)))</formula>
    </cfRule>
  </conditionalFormatting>
  <dataValidations count="11">
    <dataValidation sqref="D4:D103" showDropDown="0" showInputMessage="1" showErrorMessage="1" allowBlank="1" errorTitle="Invalid" error="Select from dropdown." promptTitle="Vertical" prompt="Select vertical." type="list">
      <formula1>"Digital Transformation,Industrial Goods &amp; Consumer Products,Structural Engineering,MedTech,Energy &amp; Utilities,Sustainability,BFSI,Product Innovation,SolidPro AI,Other"</formula1>
    </dataValidation>
    <dataValidation sqref="Y4:Y103" showDropDown="0" showInputMessage="1" showErrorMessage="1" allowBlank="1" errorTitle="Invalid" error="Select from dropdown." promptTitle="Priority" prompt="Urgency level." type="list">
      <formula1>"🔴 Critical,🟠 High,🟡 Medium,🟢 Low"</formula1>
    </dataValidation>
    <dataValidation sqref="Z4:Z103" showDropDown="0" showInputMessage="1" showErrorMessage="1" allowBlank="1" errorTitle="Invalid" error="Select from dropdown." promptTitle="Status" prompt="Workflow status." type="list">
      <formula1>"📋 Briefed,✍ In Progress,🔁 In Revision,✅ Approved by Project Head,✅ Approved by Manager,🚀 Published / Live,⏸ On Hold,❌ Cancelled"</formula1>
    </dataValidation>
    <dataValidation sqref="AA4:AA103" showDropDown="0" showInputMessage="1" showErrorMessage="1" allowBlank="1" errorTitle="Invalid" error="Select from dropdown." promptTitle="PH Approval" prompt="Project Head approval." type="list">
      <formula1>"⏳ Pending,✅ Approved,🔁 Changes Requested,❌ Rejected"</formula1>
    </dataValidation>
    <dataValidation sqref="AB4:AB103" showDropDown="0" showInputMessage="1" showErrorMessage="1" allowBlank="1" errorTitle="Invalid" error="Select from dropdown." promptTitle="Mgr Approval" prompt="Manager approval." type="list">
      <formula1>"⏳ Pending,✅ Approved,🔁 Changes Requested,❌ Rejected"</formula1>
    </dataValidation>
    <dataValidation sqref="AD4:AD103" showDropDown="0" showInputMessage="1" showErrorMessage="1" allowBlank="1" errorTitle="Invalid" error="Select from dropdown." promptTitle="Archived" prompt="Mark Yes when done." type="list">
      <formula1>"No,Yes"</formula1>
    </dataValidation>
    <dataValidation sqref="V4:V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W4:W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X4:X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I4:I103" showDropDown="0" showInputMessage="1" showErrorMessage="1" allowBlank="1" errorTitle="Invalid" error="Select from dropdown." promptTitle="Email Type" prompt="Type of email." type="list">
      <formula1>"Welcome,Nurture,Promotional,Event Invite,Follow-Up,Re-engagement,Newsletter,Transactional,Other"</formula1>
    </dataValidation>
    <dataValidation sqref="Q4:Q103" showDropDown="0" showInputMessage="1" showErrorMessage="1" allowBlank="1" errorTitle="Invalid" error="Select from dropdown." promptTitle="ESP" prompt="Email platform." type="list">
      <formula1>"HubSpot,Mailchimp,Zoho Campaigns,SendGrid,ActiveCampaign,Other"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2" customWidth="1" min="4" max="4"/>
    <col width="30" customWidth="1" min="5" max="5"/>
    <col width="22" customWidth="1" min="6" max="6"/>
    <col width="30" customWidth="1" min="7" max="7"/>
    <col width="26" customWidth="1" min="8" max="8"/>
    <col width="30" customWidth="1" min="9" max="9"/>
    <col width="16" customWidth="1" min="10" max="10"/>
    <col width="16" customWidth="1" min="11" max="11"/>
    <col width="18" customWidth="1" min="12" max="12"/>
    <col width="16" customWidth="1" min="13" max="13"/>
    <col width="30" customWidth="1" min="14" max="14"/>
    <col width="22" customWidth="1" min="15" max="15"/>
    <col width="20" customWidth="1" min="16" max="16"/>
    <col width="18" customWidth="1" min="17" max="17"/>
    <col width="18" customWidth="1" min="18" max="18"/>
    <col width="22" customWidth="1" min="19" max="19"/>
    <col width="14" customWidth="1" min="20" max="20"/>
    <col width="14" customWidth="1" min="21" max="21"/>
    <col width="14" customWidth="1" min="22" max="22"/>
    <col width="13" customWidth="1" min="23" max="23"/>
    <col width="26" customWidth="1" min="24" max="24"/>
    <col width="26" customWidth="1" min="25" max="25"/>
    <col width="22" customWidth="1" min="26" max="26"/>
    <col width="20" customWidth="1" min="27" max="27"/>
    <col width="34" customWidth="1" min="28" max="28"/>
    <col width="12" customWidth="1" min="29" max="29"/>
  </cols>
  <sheetData>
    <row r="1" ht="36" customHeight="1">
      <c r="A1" s="16" t="inlineStr">
        <is>
          <t>SolidPro — SEO Tracker  |  FILE 2 of 2</t>
        </is>
      </c>
    </row>
    <row r="2" ht="16" customHeight="1">
      <c r="A2" s="2" t="inlineStr">
        <is>
          <t>Asset ID format: CAMPID-SEO-001  |  One row per SEO task  |  * = Mandatory</t>
        </is>
      </c>
    </row>
    <row r="3" ht="32" customHeight="1">
      <c r="A3" s="17" t="inlineStr">
        <is>
          <t>S.No</t>
        </is>
      </c>
      <c r="B3" s="17" t="inlineStr">
        <is>
          <t>Campaign ID *</t>
        </is>
      </c>
      <c r="C3" s="17" t="inlineStr">
        <is>
          <t>Asset ID</t>
        </is>
      </c>
      <c r="D3" s="17" t="inlineStr">
        <is>
          <t>Vertical *</t>
        </is>
      </c>
      <c r="E3" s="17" t="inlineStr">
        <is>
          <t>SEO Task Name *</t>
        </is>
      </c>
      <c r="F3" s="17" t="inlineStr">
        <is>
          <t>SEO Task Type</t>
        </is>
      </c>
      <c r="G3" s="17" t="inlineStr">
        <is>
          <t>Target Page / URL</t>
        </is>
      </c>
      <c r="H3" s="17" t="inlineStr">
        <is>
          <t>Primary Keyword</t>
        </is>
      </c>
      <c r="I3" s="17" t="inlineStr">
        <is>
          <t>Secondary Keywords</t>
        </is>
      </c>
      <c r="J3" s="17" t="inlineStr">
        <is>
          <t>Current Ranking</t>
        </is>
      </c>
      <c r="K3" s="17" t="inlineStr">
        <is>
          <t>Target Ranking</t>
        </is>
      </c>
      <c r="L3" s="17" t="inlineStr">
        <is>
          <t>Monthly Search Vol.</t>
        </is>
      </c>
      <c r="M3" s="17" t="inlineStr">
        <is>
          <t>Keyword Difficulty</t>
        </is>
      </c>
      <c r="N3" s="17" t="inlineStr">
        <is>
          <t>On-Page Changes</t>
        </is>
      </c>
      <c r="O3" s="17" t="inlineStr">
        <is>
          <t>Backlink Target</t>
        </is>
      </c>
      <c r="P3" s="17" t="inlineStr">
        <is>
          <t>Linked Content ID</t>
        </is>
      </c>
      <c r="Q3" s="17" t="inlineStr">
        <is>
          <t>Linked LP ID</t>
        </is>
      </c>
      <c r="R3" s="17" t="inlineStr">
        <is>
          <t>Tool Used</t>
        </is>
      </c>
      <c r="S3" s="17" t="inlineStr">
        <is>
          <t>Owner *</t>
        </is>
      </c>
      <c r="T3" s="17" t="inlineStr">
        <is>
          <t>Brief Date</t>
        </is>
      </c>
      <c r="U3" s="17" t="inlineStr">
        <is>
          <t>Due Date *</t>
        </is>
      </c>
      <c r="V3" s="17" t="inlineStr">
        <is>
          <t>Pub / Go-Live Date *</t>
        </is>
      </c>
      <c r="W3" s="17" t="inlineStr">
        <is>
          <t>Priority</t>
        </is>
      </c>
      <c r="X3" s="17" t="inlineStr">
        <is>
          <t>Status</t>
        </is>
      </c>
      <c r="Y3" s="17" t="inlineStr">
        <is>
          <t>Approved by Project Head</t>
        </is>
      </c>
      <c r="Z3" s="17" t="inlineStr">
        <is>
          <t>Approved by Manager</t>
        </is>
      </c>
      <c r="AA3" s="17" t="inlineStr">
        <is>
          <t>Tracking Implemented?</t>
        </is>
      </c>
      <c r="AB3" s="17" t="inlineStr">
        <is>
          <t>Feedback / Notes</t>
        </is>
      </c>
      <c r="AC3" s="17" t="inlineStr">
        <is>
          <t>Archived?</t>
        </is>
      </c>
    </row>
    <row r="4" ht="22" customHeight="1">
      <c r="A4" s="4" t="n">
        <v>1</v>
      </c>
      <c r="B4" s="5" t="n"/>
      <c r="C4" s="6">
        <f>IF(B4="","",B4&amp;"-SEO-"&amp;TEXT(1,"000"))</f>
        <v/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</row>
    <row r="5" ht="22" customHeight="1">
      <c r="A5" s="7" t="n">
        <v>2</v>
      </c>
      <c r="B5" s="8" t="n"/>
      <c r="C5" s="9">
        <f>IF(B5="","",B5&amp;"-SEO-"&amp;TEXT(2,"000"))</f>
        <v/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</row>
    <row r="6" ht="22" customHeight="1">
      <c r="A6" s="4" t="n">
        <v>3</v>
      </c>
      <c r="B6" s="5" t="n"/>
      <c r="C6" s="6">
        <f>IF(B6="","",B6&amp;"-SEO-"&amp;TEXT(3,"000"))</f>
        <v/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</row>
    <row r="7" ht="22" customHeight="1">
      <c r="A7" s="7" t="n">
        <v>4</v>
      </c>
      <c r="B7" s="8" t="n"/>
      <c r="C7" s="9">
        <f>IF(B7="","",B7&amp;"-SEO-"&amp;TEXT(4,"000"))</f>
        <v/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</row>
    <row r="8" ht="22" customHeight="1">
      <c r="A8" s="4" t="n">
        <v>5</v>
      </c>
      <c r="B8" s="5" t="n"/>
      <c r="C8" s="6">
        <f>IF(B8="","",B8&amp;"-SEO-"&amp;TEXT(5,"000"))</f>
        <v/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</row>
    <row r="9" ht="22" customHeight="1">
      <c r="A9" s="7" t="n">
        <v>6</v>
      </c>
      <c r="B9" s="8" t="n"/>
      <c r="C9" s="9">
        <f>IF(B9="","",B9&amp;"-SEO-"&amp;TEXT(6,"000"))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</row>
    <row r="10" ht="22" customHeight="1">
      <c r="A10" s="4" t="n">
        <v>7</v>
      </c>
      <c r="B10" s="5" t="n"/>
      <c r="C10" s="6">
        <f>IF(B10="","",B10&amp;"-SEO-"&amp;TEXT(7,"000"))</f>
        <v/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</row>
    <row r="11" ht="22" customHeight="1">
      <c r="A11" s="7" t="n">
        <v>8</v>
      </c>
      <c r="B11" s="8" t="n"/>
      <c r="C11" s="9">
        <f>IF(B11="","",B11&amp;"-SEO-"&amp;TEXT(8,"000"))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</row>
    <row r="12" ht="22" customHeight="1">
      <c r="A12" s="4" t="n">
        <v>9</v>
      </c>
      <c r="B12" s="5" t="n"/>
      <c r="C12" s="6">
        <f>IF(B12="","",B12&amp;"-SEO-"&amp;TEXT(9,"000"))</f>
        <v/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</row>
    <row r="13" ht="22" customHeight="1">
      <c r="A13" s="7" t="n">
        <v>10</v>
      </c>
      <c r="B13" s="8" t="n"/>
      <c r="C13" s="9">
        <f>IF(B13="","",B13&amp;"-SEO-"&amp;TEXT(10,"000"))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</row>
    <row r="14" ht="22" customHeight="1">
      <c r="A14" s="4" t="n">
        <v>11</v>
      </c>
      <c r="B14" s="5" t="n"/>
      <c r="C14" s="6">
        <f>IF(B14="","",B14&amp;"-SEO-"&amp;TEXT(11,"000"))</f>
        <v/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</row>
    <row r="15" ht="22" customHeight="1">
      <c r="A15" s="7" t="n">
        <v>12</v>
      </c>
      <c r="B15" s="8" t="n"/>
      <c r="C15" s="9">
        <f>IF(B15="","",B15&amp;"-SEO-"&amp;TEXT(12,"000"))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</row>
    <row r="16" ht="22" customHeight="1">
      <c r="A16" s="4" t="n">
        <v>13</v>
      </c>
      <c r="B16" s="5" t="n"/>
      <c r="C16" s="6">
        <f>IF(B16="","",B16&amp;"-SEO-"&amp;TEXT(13,"000"))</f>
        <v/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</row>
    <row r="17" ht="22" customHeight="1">
      <c r="A17" s="7" t="n">
        <v>14</v>
      </c>
      <c r="B17" s="8" t="n"/>
      <c r="C17" s="9">
        <f>IF(B17="","",B17&amp;"-SEO-"&amp;TEXT(14,"000"))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</row>
    <row r="18" ht="22" customHeight="1">
      <c r="A18" s="4" t="n">
        <v>15</v>
      </c>
      <c r="B18" s="5" t="n"/>
      <c r="C18" s="6">
        <f>IF(B18="","",B18&amp;"-SEO-"&amp;TEXT(15,"000"))</f>
        <v/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</row>
    <row r="19" ht="22" customHeight="1">
      <c r="A19" s="7" t="n">
        <v>16</v>
      </c>
      <c r="B19" s="8" t="n"/>
      <c r="C19" s="9">
        <f>IF(B19="","",B19&amp;"-SEO-"&amp;TEXT(16,"000"))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</row>
    <row r="20" ht="22" customHeight="1">
      <c r="A20" s="4" t="n">
        <v>17</v>
      </c>
      <c r="B20" s="5" t="n"/>
      <c r="C20" s="6">
        <f>IF(B20="","",B20&amp;"-SEO-"&amp;TEXT(17,"000"))</f>
        <v/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</row>
    <row r="21" ht="22" customHeight="1">
      <c r="A21" s="7" t="n">
        <v>18</v>
      </c>
      <c r="B21" s="8" t="n"/>
      <c r="C21" s="9">
        <f>IF(B21="","",B21&amp;"-SEO-"&amp;TEXT(18,"000"))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</row>
    <row r="22" ht="22" customHeight="1">
      <c r="A22" s="4" t="n">
        <v>19</v>
      </c>
      <c r="B22" s="5" t="n"/>
      <c r="C22" s="6">
        <f>IF(B22="","",B22&amp;"-SEO-"&amp;TEXT(19,"000"))</f>
        <v/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</row>
    <row r="23" ht="22" customHeight="1">
      <c r="A23" s="7" t="n">
        <v>20</v>
      </c>
      <c r="B23" s="8" t="n"/>
      <c r="C23" s="9">
        <f>IF(B23="","",B23&amp;"-SEO-"&amp;TEXT(20,"000"))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</row>
    <row r="24" ht="22" customHeight="1">
      <c r="A24" s="4" t="n">
        <v>21</v>
      </c>
      <c r="B24" s="5" t="n"/>
      <c r="C24" s="6">
        <f>IF(B24="","",B24&amp;"-SEO-"&amp;TEXT(21,"000"))</f>
        <v/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</row>
    <row r="25" ht="22" customHeight="1">
      <c r="A25" s="7" t="n">
        <v>22</v>
      </c>
      <c r="B25" s="8" t="n"/>
      <c r="C25" s="9">
        <f>IF(B25="","",B25&amp;"-SEO-"&amp;TEXT(22,"000"))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</row>
    <row r="26" ht="22" customHeight="1">
      <c r="A26" s="4" t="n">
        <v>23</v>
      </c>
      <c r="B26" s="5" t="n"/>
      <c r="C26" s="6">
        <f>IF(B26="","",B26&amp;"-SEO-"&amp;TEXT(23,"000"))</f>
        <v/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</row>
    <row r="27" ht="22" customHeight="1">
      <c r="A27" s="7" t="n">
        <v>24</v>
      </c>
      <c r="B27" s="8" t="n"/>
      <c r="C27" s="9">
        <f>IF(B27="","",B27&amp;"-SEO-"&amp;TEXT(24,"000"))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</row>
    <row r="28" ht="22" customHeight="1">
      <c r="A28" s="4" t="n">
        <v>25</v>
      </c>
      <c r="B28" s="5" t="n"/>
      <c r="C28" s="6">
        <f>IF(B28="","",B28&amp;"-SEO-"&amp;TEXT(25,"000"))</f>
        <v/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</row>
    <row r="29" ht="22" customHeight="1">
      <c r="A29" s="7" t="n">
        <v>26</v>
      </c>
      <c r="B29" s="8" t="n"/>
      <c r="C29" s="9">
        <f>IF(B29="","",B29&amp;"-SEO-"&amp;TEXT(26,"000"))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</row>
    <row r="30" ht="22" customHeight="1">
      <c r="A30" s="4" t="n">
        <v>27</v>
      </c>
      <c r="B30" s="5" t="n"/>
      <c r="C30" s="6">
        <f>IF(B30="","",B30&amp;"-SEO-"&amp;TEXT(27,"000"))</f>
        <v/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</row>
    <row r="31" ht="22" customHeight="1">
      <c r="A31" s="7" t="n">
        <v>28</v>
      </c>
      <c r="B31" s="8" t="n"/>
      <c r="C31" s="9">
        <f>IF(B31="","",B31&amp;"-SEO-"&amp;TEXT(28,"000"))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</row>
    <row r="32" ht="22" customHeight="1">
      <c r="A32" s="4" t="n">
        <v>29</v>
      </c>
      <c r="B32" s="5" t="n"/>
      <c r="C32" s="6">
        <f>IF(B32="","",B32&amp;"-SEO-"&amp;TEXT(29,"000"))</f>
        <v/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</row>
    <row r="33" ht="22" customHeight="1">
      <c r="A33" s="7" t="n">
        <v>30</v>
      </c>
      <c r="B33" s="8" t="n"/>
      <c r="C33" s="9">
        <f>IF(B33="","",B33&amp;"-SEO-"&amp;TEXT(30,"000"))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</row>
    <row r="34" ht="22" customHeight="1">
      <c r="A34" s="4" t="n">
        <v>31</v>
      </c>
      <c r="B34" s="5" t="n"/>
      <c r="C34" s="6">
        <f>IF(B34="","",B34&amp;"-SEO-"&amp;TEXT(31,"000"))</f>
        <v/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</row>
    <row r="35" ht="22" customHeight="1">
      <c r="A35" s="7" t="n">
        <v>32</v>
      </c>
      <c r="B35" s="8" t="n"/>
      <c r="C35" s="9">
        <f>IF(B35="","",B35&amp;"-SEO-"&amp;TEXT(32,"000"))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</row>
    <row r="36" ht="22" customHeight="1">
      <c r="A36" s="4" t="n">
        <v>33</v>
      </c>
      <c r="B36" s="5" t="n"/>
      <c r="C36" s="6">
        <f>IF(B36="","",B36&amp;"-SEO-"&amp;TEXT(33,"000"))</f>
        <v/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</row>
    <row r="37" ht="22" customHeight="1">
      <c r="A37" s="7" t="n">
        <v>34</v>
      </c>
      <c r="B37" s="8" t="n"/>
      <c r="C37" s="9">
        <f>IF(B37="","",B37&amp;"-SEO-"&amp;TEXT(34,"000"))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</row>
    <row r="38" ht="22" customHeight="1">
      <c r="A38" s="4" t="n">
        <v>35</v>
      </c>
      <c r="B38" s="5" t="n"/>
      <c r="C38" s="6">
        <f>IF(B38="","",B38&amp;"-SEO-"&amp;TEXT(35,"000"))</f>
        <v/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</row>
    <row r="39" ht="22" customHeight="1">
      <c r="A39" s="7" t="n">
        <v>36</v>
      </c>
      <c r="B39" s="8" t="n"/>
      <c r="C39" s="9">
        <f>IF(B39="","",B39&amp;"-SEO-"&amp;TEXT(36,"000"))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</row>
    <row r="40" ht="22" customHeight="1">
      <c r="A40" s="4" t="n">
        <v>37</v>
      </c>
      <c r="B40" s="5" t="n"/>
      <c r="C40" s="6">
        <f>IF(B40="","",B40&amp;"-SEO-"&amp;TEXT(37,"000"))</f>
        <v/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</row>
    <row r="41" ht="22" customHeight="1">
      <c r="A41" s="7" t="n">
        <v>38</v>
      </c>
      <c r="B41" s="8" t="n"/>
      <c r="C41" s="9">
        <f>IF(B41="","",B41&amp;"-SEO-"&amp;TEXT(38,"000"))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</row>
    <row r="42" ht="22" customHeight="1">
      <c r="A42" s="4" t="n">
        <v>39</v>
      </c>
      <c r="B42" s="5" t="n"/>
      <c r="C42" s="6">
        <f>IF(B42="","",B42&amp;"-SEO-"&amp;TEXT(39,"000"))</f>
        <v/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</row>
    <row r="43" ht="22" customHeight="1">
      <c r="A43" s="7" t="n">
        <v>40</v>
      </c>
      <c r="B43" s="8" t="n"/>
      <c r="C43" s="9">
        <f>IF(B43="","",B43&amp;"-SEO-"&amp;TEXT(40,"000"))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</row>
    <row r="44" ht="22" customHeight="1">
      <c r="A44" s="4" t="n">
        <v>41</v>
      </c>
      <c r="B44" s="5" t="n"/>
      <c r="C44" s="6">
        <f>IF(B44="","",B44&amp;"-SEO-"&amp;TEXT(41,"000"))</f>
        <v/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</row>
    <row r="45" ht="22" customHeight="1">
      <c r="A45" s="7" t="n">
        <v>42</v>
      </c>
      <c r="B45" s="8" t="n"/>
      <c r="C45" s="9">
        <f>IF(B45="","",B45&amp;"-SEO-"&amp;TEXT(42,"000"))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</row>
    <row r="46" ht="22" customHeight="1">
      <c r="A46" s="4" t="n">
        <v>43</v>
      </c>
      <c r="B46" s="5" t="n"/>
      <c r="C46" s="6">
        <f>IF(B46="","",B46&amp;"-SEO-"&amp;TEXT(43,"000"))</f>
        <v/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</row>
    <row r="47" ht="22" customHeight="1">
      <c r="A47" s="7" t="n">
        <v>44</v>
      </c>
      <c r="B47" s="8" t="n"/>
      <c r="C47" s="9">
        <f>IF(B47="","",B47&amp;"-SEO-"&amp;TEXT(44,"000"))</f>
        <v/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</row>
    <row r="48" ht="22" customHeight="1">
      <c r="A48" s="4" t="n">
        <v>45</v>
      </c>
      <c r="B48" s="5" t="n"/>
      <c r="C48" s="6">
        <f>IF(B48="","",B48&amp;"-SEO-"&amp;TEXT(45,"000"))</f>
        <v/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</row>
    <row r="49" ht="22" customHeight="1">
      <c r="A49" s="7" t="n">
        <v>46</v>
      </c>
      <c r="B49" s="8" t="n"/>
      <c r="C49" s="9">
        <f>IF(B49="","",B49&amp;"-SEO-"&amp;TEXT(46,"000"))</f>
        <v/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</row>
    <row r="50" ht="22" customHeight="1">
      <c r="A50" s="4" t="n">
        <v>47</v>
      </c>
      <c r="B50" s="5" t="n"/>
      <c r="C50" s="6">
        <f>IF(B50="","",B50&amp;"-SEO-"&amp;TEXT(47,"000"))</f>
        <v/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</row>
    <row r="51" ht="22" customHeight="1">
      <c r="A51" s="7" t="n">
        <v>48</v>
      </c>
      <c r="B51" s="8" t="n"/>
      <c r="C51" s="9">
        <f>IF(B51="","",B51&amp;"-SEO-"&amp;TEXT(48,"000"))</f>
        <v/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</row>
    <row r="52" ht="22" customHeight="1">
      <c r="A52" s="4" t="n">
        <v>49</v>
      </c>
      <c r="B52" s="5" t="n"/>
      <c r="C52" s="6">
        <f>IF(B52="","",B52&amp;"-SEO-"&amp;TEXT(49,"000"))</f>
        <v/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</row>
    <row r="53" ht="22" customHeight="1">
      <c r="A53" s="7" t="n">
        <v>50</v>
      </c>
      <c r="B53" s="8" t="n"/>
      <c r="C53" s="9">
        <f>IF(B53="","",B53&amp;"-SEO-"&amp;TEXT(50,"000"))</f>
        <v/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</row>
    <row r="54" ht="22" customHeight="1">
      <c r="A54" s="4" t="n">
        <v>51</v>
      </c>
      <c r="B54" s="5" t="n"/>
      <c r="C54" s="6">
        <f>IF(B54="","",B54&amp;"-SEO-"&amp;TEXT(51,"000"))</f>
        <v/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</row>
    <row r="55" ht="22" customHeight="1">
      <c r="A55" s="7" t="n">
        <v>52</v>
      </c>
      <c r="B55" s="8" t="n"/>
      <c r="C55" s="9">
        <f>IF(B55="","",B55&amp;"-SEO-"&amp;TEXT(52,"000"))</f>
        <v/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</row>
    <row r="56" ht="22" customHeight="1">
      <c r="A56" s="4" t="n">
        <v>53</v>
      </c>
      <c r="B56" s="5" t="n"/>
      <c r="C56" s="6">
        <f>IF(B56="","",B56&amp;"-SEO-"&amp;TEXT(53,"000"))</f>
        <v/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</row>
    <row r="57" ht="22" customHeight="1">
      <c r="A57" s="7" t="n">
        <v>54</v>
      </c>
      <c r="B57" s="8" t="n"/>
      <c r="C57" s="9">
        <f>IF(B57="","",B57&amp;"-SEO-"&amp;TEXT(54,"000"))</f>
        <v/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</row>
    <row r="58" ht="22" customHeight="1">
      <c r="A58" s="4" t="n">
        <v>55</v>
      </c>
      <c r="B58" s="5" t="n"/>
      <c r="C58" s="6">
        <f>IF(B58="","",B58&amp;"-SEO-"&amp;TEXT(55,"000"))</f>
        <v/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</row>
    <row r="59" ht="22" customHeight="1">
      <c r="A59" s="7" t="n">
        <v>56</v>
      </c>
      <c r="B59" s="8" t="n"/>
      <c r="C59" s="9">
        <f>IF(B59="","",B59&amp;"-SEO-"&amp;TEXT(56,"000"))</f>
        <v/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</row>
    <row r="60" ht="22" customHeight="1">
      <c r="A60" s="4" t="n">
        <v>57</v>
      </c>
      <c r="B60" s="5" t="n"/>
      <c r="C60" s="6">
        <f>IF(B60="","",B60&amp;"-SEO-"&amp;TEXT(57,"000"))</f>
        <v/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</row>
    <row r="61" ht="22" customHeight="1">
      <c r="A61" s="7" t="n">
        <v>58</v>
      </c>
      <c r="B61" s="8" t="n"/>
      <c r="C61" s="9">
        <f>IF(B61="","",B61&amp;"-SEO-"&amp;TEXT(58,"000"))</f>
        <v/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</row>
    <row r="62" ht="22" customHeight="1">
      <c r="A62" s="4" t="n">
        <v>59</v>
      </c>
      <c r="B62" s="5" t="n"/>
      <c r="C62" s="6">
        <f>IF(B62="","",B62&amp;"-SEO-"&amp;TEXT(59,"000"))</f>
        <v/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</row>
    <row r="63" ht="22" customHeight="1">
      <c r="A63" s="7" t="n">
        <v>60</v>
      </c>
      <c r="B63" s="8" t="n"/>
      <c r="C63" s="9">
        <f>IF(B63="","",B63&amp;"-SEO-"&amp;TEXT(60,"000"))</f>
        <v/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</row>
    <row r="64" ht="22" customHeight="1">
      <c r="A64" s="4" t="n">
        <v>61</v>
      </c>
      <c r="B64" s="5" t="n"/>
      <c r="C64" s="6">
        <f>IF(B64="","",B64&amp;"-SEO-"&amp;TEXT(61,"000"))</f>
        <v/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</row>
    <row r="65" ht="22" customHeight="1">
      <c r="A65" s="7" t="n">
        <v>62</v>
      </c>
      <c r="B65" s="8" t="n"/>
      <c r="C65" s="9">
        <f>IF(B65="","",B65&amp;"-SEO-"&amp;TEXT(62,"000"))</f>
        <v/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</row>
    <row r="66" ht="22" customHeight="1">
      <c r="A66" s="4" t="n">
        <v>63</v>
      </c>
      <c r="B66" s="5" t="n"/>
      <c r="C66" s="6">
        <f>IF(B66="","",B66&amp;"-SEO-"&amp;TEXT(63,"000"))</f>
        <v/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</row>
    <row r="67" ht="22" customHeight="1">
      <c r="A67" s="7" t="n">
        <v>64</v>
      </c>
      <c r="B67" s="8" t="n"/>
      <c r="C67" s="9">
        <f>IF(B67="","",B67&amp;"-SEO-"&amp;TEXT(64,"000"))</f>
        <v/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</row>
    <row r="68" ht="22" customHeight="1">
      <c r="A68" s="4" t="n">
        <v>65</v>
      </c>
      <c r="B68" s="5" t="n"/>
      <c r="C68" s="6">
        <f>IF(B68="","",B68&amp;"-SEO-"&amp;TEXT(65,"000"))</f>
        <v/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</row>
    <row r="69" ht="22" customHeight="1">
      <c r="A69" s="7" t="n">
        <v>66</v>
      </c>
      <c r="B69" s="8" t="n"/>
      <c r="C69" s="9">
        <f>IF(B69="","",B69&amp;"-SEO-"&amp;TEXT(66,"000"))</f>
        <v/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</row>
    <row r="70" ht="22" customHeight="1">
      <c r="A70" s="4" t="n">
        <v>67</v>
      </c>
      <c r="B70" s="5" t="n"/>
      <c r="C70" s="6">
        <f>IF(B70="","",B70&amp;"-SEO-"&amp;TEXT(67,"000"))</f>
        <v/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</row>
    <row r="71" ht="22" customHeight="1">
      <c r="A71" s="7" t="n">
        <v>68</v>
      </c>
      <c r="B71" s="8" t="n"/>
      <c r="C71" s="9">
        <f>IF(B71="","",B71&amp;"-SEO-"&amp;TEXT(68,"000"))</f>
        <v/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</row>
    <row r="72" ht="22" customHeight="1">
      <c r="A72" s="4" t="n">
        <v>69</v>
      </c>
      <c r="B72" s="5" t="n"/>
      <c r="C72" s="6">
        <f>IF(B72="","",B72&amp;"-SEO-"&amp;TEXT(69,"000"))</f>
        <v/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</row>
    <row r="73" ht="22" customHeight="1">
      <c r="A73" s="7" t="n">
        <v>70</v>
      </c>
      <c r="B73" s="8" t="n"/>
      <c r="C73" s="9">
        <f>IF(B73="","",B73&amp;"-SEO-"&amp;TEXT(70,"000"))</f>
        <v/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</row>
    <row r="74" ht="22" customHeight="1">
      <c r="A74" s="4" t="n">
        <v>71</v>
      </c>
      <c r="B74" s="5" t="n"/>
      <c r="C74" s="6">
        <f>IF(B74="","",B74&amp;"-SEO-"&amp;TEXT(71,"000"))</f>
        <v/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</row>
    <row r="75" ht="22" customHeight="1">
      <c r="A75" s="7" t="n">
        <v>72</v>
      </c>
      <c r="B75" s="8" t="n"/>
      <c r="C75" s="9">
        <f>IF(B75="","",B75&amp;"-SEO-"&amp;TEXT(72,"000"))</f>
        <v/>
      </c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</row>
    <row r="76" ht="22" customHeight="1">
      <c r="A76" s="4" t="n">
        <v>73</v>
      </c>
      <c r="B76" s="5" t="n"/>
      <c r="C76" s="6">
        <f>IF(B76="","",B76&amp;"-SEO-"&amp;TEXT(73,"000"))</f>
        <v/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</row>
    <row r="77" ht="22" customHeight="1">
      <c r="A77" s="7" t="n">
        <v>74</v>
      </c>
      <c r="B77" s="8" t="n"/>
      <c r="C77" s="9">
        <f>IF(B77="","",B77&amp;"-SEO-"&amp;TEXT(74,"000"))</f>
        <v/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</row>
    <row r="78" ht="22" customHeight="1">
      <c r="A78" s="4" t="n">
        <v>75</v>
      </c>
      <c r="B78" s="5" t="n"/>
      <c r="C78" s="6">
        <f>IF(B78="","",B78&amp;"-SEO-"&amp;TEXT(75,"000"))</f>
        <v/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</row>
    <row r="79" ht="22" customHeight="1">
      <c r="A79" s="7" t="n">
        <v>76</v>
      </c>
      <c r="B79" s="8" t="n"/>
      <c r="C79" s="9">
        <f>IF(B79="","",B79&amp;"-SEO-"&amp;TEXT(76,"000"))</f>
        <v/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</row>
    <row r="80" ht="22" customHeight="1">
      <c r="A80" s="4" t="n">
        <v>77</v>
      </c>
      <c r="B80" s="5" t="n"/>
      <c r="C80" s="6">
        <f>IF(B80="","",B80&amp;"-SEO-"&amp;TEXT(77,"000"))</f>
        <v/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</row>
    <row r="81" ht="22" customHeight="1">
      <c r="A81" s="7" t="n">
        <v>78</v>
      </c>
      <c r="B81" s="8" t="n"/>
      <c r="C81" s="9">
        <f>IF(B81="","",B81&amp;"-SEO-"&amp;TEXT(78,"000"))</f>
        <v/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</row>
    <row r="82" ht="22" customHeight="1">
      <c r="A82" s="4" t="n">
        <v>79</v>
      </c>
      <c r="B82" s="5" t="n"/>
      <c r="C82" s="6">
        <f>IF(B82="","",B82&amp;"-SEO-"&amp;TEXT(79,"000"))</f>
        <v/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</row>
    <row r="83" ht="22" customHeight="1">
      <c r="A83" s="7" t="n">
        <v>80</v>
      </c>
      <c r="B83" s="8" t="n"/>
      <c r="C83" s="9">
        <f>IF(B83="","",B83&amp;"-SEO-"&amp;TEXT(80,"000"))</f>
        <v/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</row>
    <row r="84" ht="22" customHeight="1">
      <c r="A84" s="4" t="n">
        <v>81</v>
      </c>
      <c r="B84" s="5" t="n"/>
      <c r="C84" s="6">
        <f>IF(B84="","",B84&amp;"-SEO-"&amp;TEXT(81,"000"))</f>
        <v/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</row>
    <row r="85" ht="22" customHeight="1">
      <c r="A85" s="7" t="n">
        <v>82</v>
      </c>
      <c r="B85" s="8" t="n"/>
      <c r="C85" s="9">
        <f>IF(B85="","",B85&amp;"-SEO-"&amp;TEXT(82,"000"))</f>
        <v/>
      </c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</row>
    <row r="86" ht="22" customHeight="1">
      <c r="A86" s="4" t="n">
        <v>83</v>
      </c>
      <c r="B86" s="5" t="n"/>
      <c r="C86" s="6">
        <f>IF(B86="","",B86&amp;"-SEO-"&amp;TEXT(83,"000"))</f>
        <v/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</row>
    <row r="87" ht="22" customHeight="1">
      <c r="A87" s="7" t="n">
        <v>84</v>
      </c>
      <c r="B87" s="8" t="n"/>
      <c r="C87" s="9">
        <f>IF(B87="","",B87&amp;"-SEO-"&amp;TEXT(84,"000"))</f>
        <v/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</row>
    <row r="88" ht="22" customHeight="1">
      <c r="A88" s="4" t="n">
        <v>85</v>
      </c>
      <c r="B88" s="5" t="n"/>
      <c r="C88" s="6">
        <f>IF(B88="","",B88&amp;"-SEO-"&amp;TEXT(85,"000"))</f>
        <v/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</row>
    <row r="89" ht="22" customHeight="1">
      <c r="A89" s="7" t="n">
        <v>86</v>
      </c>
      <c r="B89" s="8" t="n"/>
      <c r="C89" s="9">
        <f>IF(B89="","",B89&amp;"-SEO-"&amp;TEXT(86,"000"))</f>
        <v/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</row>
    <row r="90" ht="22" customHeight="1">
      <c r="A90" s="4" t="n">
        <v>87</v>
      </c>
      <c r="B90" s="5" t="n"/>
      <c r="C90" s="6">
        <f>IF(B90="","",B90&amp;"-SEO-"&amp;TEXT(87,"000"))</f>
        <v/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</row>
    <row r="91" ht="22" customHeight="1">
      <c r="A91" s="7" t="n">
        <v>88</v>
      </c>
      <c r="B91" s="8" t="n"/>
      <c r="C91" s="9">
        <f>IF(B91="","",B91&amp;"-SEO-"&amp;TEXT(88,"000"))</f>
        <v/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</row>
    <row r="92" ht="22" customHeight="1">
      <c r="A92" s="4" t="n">
        <v>89</v>
      </c>
      <c r="B92" s="5" t="n"/>
      <c r="C92" s="6">
        <f>IF(B92="","",B92&amp;"-SEO-"&amp;TEXT(89,"000"))</f>
        <v/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</row>
    <row r="93" ht="22" customHeight="1">
      <c r="A93" s="7" t="n">
        <v>90</v>
      </c>
      <c r="B93" s="8" t="n"/>
      <c r="C93" s="9">
        <f>IF(B93="","",B93&amp;"-SEO-"&amp;TEXT(90,"000"))</f>
        <v/>
      </c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</row>
    <row r="94" ht="22" customHeight="1">
      <c r="A94" s="4" t="n">
        <v>91</v>
      </c>
      <c r="B94" s="5" t="n"/>
      <c r="C94" s="6">
        <f>IF(B94="","",B94&amp;"-SEO-"&amp;TEXT(91,"000"))</f>
        <v/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</row>
    <row r="95" ht="22" customHeight="1">
      <c r="A95" s="7" t="n">
        <v>92</v>
      </c>
      <c r="B95" s="8" t="n"/>
      <c r="C95" s="9">
        <f>IF(B95="","",B95&amp;"-SEO-"&amp;TEXT(92,"000"))</f>
        <v/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</row>
    <row r="96" ht="22" customHeight="1">
      <c r="A96" s="4" t="n">
        <v>93</v>
      </c>
      <c r="B96" s="5" t="n"/>
      <c r="C96" s="6">
        <f>IF(B96="","",B96&amp;"-SEO-"&amp;TEXT(93,"000"))</f>
        <v/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</row>
    <row r="97" ht="22" customHeight="1">
      <c r="A97" s="7" t="n">
        <v>94</v>
      </c>
      <c r="B97" s="8" t="n"/>
      <c r="C97" s="9">
        <f>IF(B97="","",B97&amp;"-SEO-"&amp;TEXT(94,"000"))</f>
        <v/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</row>
    <row r="98" ht="22" customHeight="1">
      <c r="A98" s="4" t="n">
        <v>95</v>
      </c>
      <c r="B98" s="5" t="n"/>
      <c r="C98" s="6">
        <f>IF(B98="","",B98&amp;"-SEO-"&amp;TEXT(95,"000"))</f>
        <v/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</row>
    <row r="99" ht="22" customHeight="1">
      <c r="A99" s="7" t="n">
        <v>96</v>
      </c>
      <c r="B99" s="8" t="n"/>
      <c r="C99" s="9">
        <f>IF(B99="","",B99&amp;"-SEO-"&amp;TEXT(96,"000"))</f>
        <v/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</row>
    <row r="100" ht="22" customHeight="1">
      <c r="A100" s="4" t="n">
        <v>97</v>
      </c>
      <c r="B100" s="5" t="n"/>
      <c r="C100" s="6">
        <f>IF(B100="","",B100&amp;"-SEO-"&amp;TEXT(97,"000"))</f>
        <v/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</row>
    <row r="101" ht="22" customHeight="1">
      <c r="A101" s="7" t="n">
        <v>98</v>
      </c>
      <c r="B101" s="8" t="n"/>
      <c r="C101" s="9">
        <f>IF(B101="","",B101&amp;"-SEO-"&amp;TEXT(98,"000"))</f>
        <v/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</row>
    <row r="102" ht="22" customHeight="1">
      <c r="A102" s="4" t="n">
        <v>99</v>
      </c>
      <c r="B102" s="5" t="n"/>
      <c r="C102" s="6">
        <f>IF(B102="","",B102&amp;"-SEO-"&amp;TEXT(99,"000"))</f>
        <v/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</row>
    <row r="103" ht="22" customHeight="1">
      <c r="A103" s="7" t="n">
        <v>100</v>
      </c>
      <c r="B103" s="8" t="n"/>
      <c r="C103" s="9">
        <f>IF(B103="","",B103&amp;"-SEO-"&amp;TEXT(100,"000"))</f>
        <v/>
      </c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</row>
  </sheetData>
  <mergeCells count="2">
    <mergeCell ref="A2:AC2"/>
    <mergeCell ref="A1:AC1"/>
  </mergeCells>
  <conditionalFormatting sqref="X4:X103">
    <cfRule type="containsText" priority="1" operator="containsText" dxfId="0" text="Active">
      <formula>NOT(ISERROR(SEARCH("Active",X4)))</formula>
    </cfRule>
    <cfRule type="containsText" priority="2" operator="containsText" dxfId="0" text="Completed">
      <formula>NOT(ISERROR(SEARCH("Completed",X4)))</formula>
    </cfRule>
    <cfRule type="containsText" priority="3" operator="containsText" dxfId="0" text="Approved">
      <formula>NOT(ISERROR(SEARCH("Approved",X4)))</formula>
    </cfRule>
    <cfRule type="containsText" priority="4" operator="containsText" dxfId="0" text="Published">
      <formula>NOT(ISERROR(SEARCH("Published",X4)))</formula>
    </cfRule>
    <cfRule type="containsText" priority="5" operator="containsText" dxfId="0" text="Live">
      <formula>NOT(ISERROR(SEARCH("Live",X4)))</formula>
    </cfRule>
    <cfRule type="containsText" priority="6" operator="containsText" dxfId="0" text="Optimised">
      <formula>NOT(ISERROR(SEARCH("Optimised",X4)))</formula>
    </cfRule>
    <cfRule type="containsText" priority="7" operator="containsText" dxfId="1" text="Cancelled">
      <formula>NOT(ISERROR(SEARCH("Cancelled",X4)))</formula>
    </cfRule>
    <cfRule type="containsText" priority="8" operator="containsText" dxfId="1" text="Rejected">
      <formula>NOT(ISERROR(SEARCH("Rejected",X4)))</formula>
    </cfRule>
    <cfRule type="containsText" priority="9" operator="containsText" dxfId="2" text="On Hold">
      <formula>NOT(ISERROR(SEARCH("On Hold",X4)))</formula>
    </cfRule>
    <cfRule type="containsText" priority="10" operator="containsText" dxfId="2" text="Paused">
      <formula>NOT(ISERROR(SEARCH("Paused",X4)))</formula>
    </cfRule>
    <cfRule type="containsText" priority="11" operator="containsText" dxfId="2" text="Revision">
      <formula>NOT(ISERROR(SEARCH("Revision",X4)))</formula>
    </cfRule>
    <cfRule type="containsText" priority="12" operator="containsText" dxfId="2" text="Changes">
      <formula>NOT(ISERROR(SEARCH("Changes",X4)))</formula>
    </cfRule>
    <cfRule type="containsText" priority="13" operator="containsText" dxfId="3" text="Planning">
      <formula>NOT(ISERROR(SEARCH("Planning",X4)))</formula>
    </cfRule>
    <cfRule type="containsText" priority="14" operator="containsText" dxfId="3" text="Briefed">
      <formula>NOT(ISERROR(SEARCH("Briefed",X4)))</formula>
    </cfRule>
    <cfRule type="containsText" priority="15" operator="containsText" dxfId="4" text="Progress">
      <formula>NOT(ISERROR(SEARCH("Progress",X4)))</formula>
    </cfRule>
  </conditionalFormatting>
  <conditionalFormatting sqref="Y4:Y103">
    <cfRule type="containsText" priority="16" operator="containsText" dxfId="0" text="Approved">
      <formula>NOT(ISERROR(SEARCH("Approved",Y4)))</formula>
    </cfRule>
    <cfRule type="containsText" priority="17" operator="containsText" dxfId="1" text="Rejected">
      <formula>NOT(ISERROR(SEARCH("Rejected",Y4)))</formula>
    </cfRule>
    <cfRule type="containsText" priority="18" operator="containsText" dxfId="2" text="Changes">
      <formula>NOT(ISERROR(SEARCH("Changes",Y4)))</formula>
    </cfRule>
    <cfRule type="containsText" priority="19" operator="containsText" dxfId="3" text="Pending">
      <formula>NOT(ISERROR(SEARCH("Pending",Y4)))</formula>
    </cfRule>
  </conditionalFormatting>
  <conditionalFormatting sqref="Z4:Z103">
    <cfRule type="containsText" priority="20" operator="containsText" dxfId="0" text="Approved">
      <formula>NOT(ISERROR(SEARCH("Approved",Z4)))</formula>
    </cfRule>
    <cfRule type="containsText" priority="21" operator="containsText" dxfId="1" text="Rejected">
      <formula>NOT(ISERROR(SEARCH("Rejected",Z4)))</formula>
    </cfRule>
    <cfRule type="containsText" priority="22" operator="containsText" dxfId="2" text="Changes">
      <formula>NOT(ISERROR(SEARCH("Changes",Z4)))</formula>
    </cfRule>
    <cfRule type="containsText" priority="23" operator="containsText" dxfId="3" text="Pending">
      <formula>NOT(ISERROR(SEARCH("Pending",Z4)))</formula>
    </cfRule>
  </conditionalFormatting>
  <conditionalFormatting sqref="W4:W103">
    <cfRule type="containsText" priority="24" operator="containsText" dxfId="1" text="Critical">
      <formula>NOT(ISERROR(SEARCH("Critical",W4)))</formula>
    </cfRule>
    <cfRule type="containsText" priority="25" operator="containsText" dxfId="2" text="High">
      <formula>NOT(ISERROR(SEARCH("High",W4)))</formula>
    </cfRule>
    <cfRule type="containsText" priority="26" operator="containsText" dxfId="4" text="Medium">
      <formula>NOT(ISERROR(SEARCH("Medium",W4)))</formula>
    </cfRule>
    <cfRule type="containsText" priority="27" operator="containsText" dxfId="0" text="Low">
      <formula>NOT(ISERROR(SEARCH("Low",W4)))</formula>
    </cfRule>
  </conditionalFormatting>
  <dataValidations count="12">
    <dataValidation sqref="D4:D103" showDropDown="0" showInputMessage="1" showErrorMessage="1" allowBlank="1" errorTitle="Invalid" error="Select from dropdown." promptTitle="Vertical" prompt="Select vertical." type="list">
      <formula1>"Digital Transformation,Industrial Goods &amp; Consumer Products,Structural Engineering,MedTech,Energy &amp; Utilities,Sustainability,BFSI,Product Innovation,SolidPro AI,Other"</formula1>
    </dataValidation>
    <dataValidation sqref="W4:W103" showDropDown="0" showInputMessage="1" showErrorMessage="1" allowBlank="1" errorTitle="Invalid" error="Select from dropdown." promptTitle="Priority" prompt="Urgency level." type="list">
      <formula1>"🔴 Critical,🟠 High,🟡 Medium,🟢 Low"</formula1>
    </dataValidation>
    <dataValidation sqref="X4:X103" showDropDown="0" showInputMessage="1" showErrorMessage="1" allowBlank="1" errorTitle="Invalid" error="Select from dropdown." promptTitle="Status" prompt="Workflow status." type="list">
      <formula1>"📋 Briefed,✍ In Progress,🔁 In Revision,✅ Approved by Project Head,✅ Approved by Manager,🚀 Published / Live,⏸ On Hold,❌ Cancelled"</formula1>
    </dataValidation>
    <dataValidation sqref="Y4:Y103" showDropDown="0" showInputMessage="1" showErrorMessage="1" allowBlank="1" errorTitle="Invalid" error="Select from dropdown." promptTitle="PH Approval" prompt="Project Head approval." type="list">
      <formula1>"⏳ Pending,✅ Approved,🔁 Changes Requested,❌ Rejected"</formula1>
    </dataValidation>
    <dataValidation sqref="Z4:Z103" showDropDown="0" showInputMessage="1" showErrorMessage="1" allowBlank="1" errorTitle="Invalid" error="Select from dropdown." promptTitle="Mgr Approval" prompt="Manager approval." type="list">
      <formula1>"⏳ Pending,✅ Approved,🔁 Changes Requested,❌ Rejected"</formula1>
    </dataValidation>
    <dataValidation sqref="AC4:AC103" showDropDown="0" showInputMessage="1" showErrorMessage="1" allowBlank="1" errorTitle="Invalid" error="Select from dropdown." promptTitle="Archived" prompt="Mark Yes when done." type="list">
      <formula1>"No,Yes"</formula1>
    </dataValidation>
    <dataValidation sqref="T4:T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U4:U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V4:V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F4:F103" showDropDown="0" showInputMessage="1" showErrorMessage="1" allowBlank="1" errorTitle="Invalid" error="Select from dropdown." promptTitle="SEO Task" prompt="Type of SEO work." type="list">
      <formula1>"Keyword Research,On-Page Optimisation,Technical SEO,Content Optimisation,Link Building,Competitor Analysis,Schema Markup,Site Audit,Other"</formula1>
    </dataValidation>
    <dataValidation sqref="R4:R103" showDropDown="0" showInputMessage="1" showErrorMessage="1" allowBlank="1" errorTitle="Invalid" error="Select from dropdown." promptTitle="SEO Tool" prompt="Tool used." type="list">
      <formula1>"Ahrefs,SEMrush,Google Search Console,Moz,Screaming Frog,Ubersuggest,Other"</formula1>
    </dataValidation>
    <dataValidation sqref="AA4:AA103" showDropDown="0" showInputMessage="1" showErrorMessage="1" allowBlank="1" errorTitle="Invalid" error="Select from dropdown." promptTitle="Tracking" prompt="Analytics set up?" type="list">
      <formula1>"No,Yes – GA4,Yes – Search Console,Yes – Both"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0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2" customWidth="1" min="4" max="4"/>
    <col width="32" customWidth="1" min="5" max="5"/>
    <col width="20" customWidth="1" min="6" max="6"/>
    <col width="18" customWidth="1" min="7" max="7"/>
    <col width="36" customWidth="1" min="8" max="8"/>
    <col width="26" customWidth="1" min="9" max="9"/>
    <col width="24" customWidth="1" min="10" max="10"/>
    <col width="30" customWidth="1" min="11" max="11"/>
    <col width="20" customWidth="1" min="12" max="12"/>
    <col width="15" customWidth="1" min="13" max="13"/>
    <col width="14" customWidth="1" min="14" max="14"/>
    <col width="15" customWidth="1" min="15" max="15"/>
    <col width="20" customWidth="1" min="16" max="16"/>
    <col width="22" customWidth="1" min="17" max="17"/>
    <col width="24" customWidth="1" min="18" max="18"/>
    <col width="18" customWidth="1" min="19" max="19"/>
    <col width="16" customWidth="1" min="20" max="20"/>
    <col width="28" customWidth="1" min="21" max="21"/>
    <col width="20" customWidth="1" min="22" max="22"/>
    <col width="22" customWidth="1" min="23" max="23"/>
    <col width="14" customWidth="1" min="24" max="24"/>
    <col width="14" customWidth="1" min="25" max="25"/>
    <col width="14" customWidth="1" min="26" max="26"/>
    <col width="13" customWidth="1" min="27" max="27"/>
    <col width="26" customWidth="1" min="28" max="28"/>
    <col width="26" customWidth="1" min="29" max="29"/>
    <col width="22" customWidth="1" min="30" max="30"/>
    <col width="34" customWidth="1" min="31" max="31"/>
    <col width="12" customWidth="1" min="32" max="32"/>
  </cols>
  <sheetData>
    <row r="1" ht="36" customHeight="1">
      <c r="A1" s="18" t="inlineStr">
        <is>
          <t>SolidPro — Webinars &amp; Events Tracker  |  FILE 2 of 2</t>
        </is>
      </c>
    </row>
    <row r="2" ht="16" customHeight="1">
      <c r="A2" s="2" t="inlineStr">
        <is>
          <t>Asset ID format: CAMPID-EV-001  |  Link LP + Lead Magnet IDs before going live  |  * = Mandatory</t>
        </is>
      </c>
    </row>
    <row r="3" ht="32" customHeight="1">
      <c r="A3" s="19" t="inlineStr">
        <is>
          <t>S.No</t>
        </is>
      </c>
      <c r="B3" s="19" t="inlineStr">
        <is>
          <t>Campaign ID *</t>
        </is>
      </c>
      <c r="C3" s="19" t="inlineStr">
        <is>
          <t>Asset ID</t>
        </is>
      </c>
      <c r="D3" s="19" t="inlineStr">
        <is>
          <t>Vertical *</t>
        </is>
      </c>
      <c r="E3" s="19" t="inlineStr">
        <is>
          <t>Event Name *</t>
        </is>
      </c>
      <c r="F3" s="19" t="inlineStr">
        <is>
          <t>Event Type</t>
        </is>
      </c>
      <c r="G3" s="19" t="inlineStr">
        <is>
          <t>Event Format</t>
        </is>
      </c>
      <c r="H3" s="19" t="inlineStr">
        <is>
          <t>Topic / Agenda</t>
        </is>
      </c>
      <c r="I3" s="19" t="inlineStr">
        <is>
          <t>Speaker(s)</t>
        </is>
      </c>
      <c r="J3" s="19" t="inlineStr">
        <is>
          <t>Target Audience</t>
        </is>
      </c>
      <c r="K3" s="19" t="inlineStr">
        <is>
          <t>Registration Link</t>
        </is>
      </c>
      <c r="L3" s="19" t="inlineStr">
        <is>
          <t>Platform / Tool</t>
        </is>
      </c>
      <c r="M3" s="19" t="inlineStr">
        <is>
          <t>Event Date *</t>
        </is>
      </c>
      <c r="N3" s="19" t="inlineStr">
        <is>
          <t>Event Time</t>
        </is>
      </c>
      <c r="O3" s="19" t="inlineStr">
        <is>
          <t>Duration (mins)</t>
        </is>
      </c>
      <c r="P3" s="19" t="inlineStr">
        <is>
          <t>Linked LP ID</t>
        </is>
      </c>
      <c r="Q3" s="19" t="inlineStr">
        <is>
          <t>Linked Lead Magnet ID</t>
        </is>
      </c>
      <c r="R3" s="19" t="inlineStr">
        <is>
          <t>Promotion Asset IDs</t>
        </is>
      </c>
      <c r="S3" s="19" t="inlineStr">
        <is>
          <t>Expected Attendees</t>
        </is>
      </c>
      <c r="T3" s="19" t="inlineStr">
        <is>
          <t>Actual Attendees</t>
        </is>
      </c>
      <c r="U3" s="19" t="inlineStr">
        <is>
          <t>Recording Link</t>
        </is>
      </c>
      <c r="V3" s="19" t="inlineStr">
        <is>
          <t>Follow-Up Email Sent?</t>
        </is>
      </c>
      <c r="W3" s="19" t="inlineStr">
        <is>
          <t>Owner *</t>
        </is>
      </c>
      <c r="X3" s="19" t="inlineStr">
        <is>
          <t>Brief Date</t>
        </is>
      </c>
      <c r="Y3" s="19" t="inlineStr">
        <is>
          <t>Due Date *</t>
        </is>
      </c>
      <c r="Z3" s="19" t="inlineStr">
        <is>
          <t>Pub / Go-Live Date *</t>
        </is>
      </c>
      <c r="AA3" s="19" t="inlineStr">
        <is>
          <t>Priority</t>
        </is>
      </c>
      <c r="AB3" s="19" t="inlineStr">
        <is>
          <t>Status</t>
        </is>
      </c>
      <c r="AC3" s="19" t="inlineStr">
        <is>
          <t>Approved by Project Head</t>
        </is>
      </c>
      <c r="AD3" s="19" t="inlineStr">
        <is>
          <t>Approved by Manager</t>
        </is>
      </c>
      <c r="AE3" s="19" t="inlineStr">
        <is>
          <t>Feedback / Notes</t>
        </is>
      </c>
      <c r="AF3" s="19" t="inlineStr">
        <is>
          <t>Archived?</t>
        </is>
      </c>
    </row>
    <row r="4" ht="22" customHeight="1">
      <c r="A4" s="4" t="n">
        <v>1</v>
      </c>
      <c r="B4" s="5" t="n"/>
      <c r="C4" s="6">
        <f>IF(B4="","",B4&amp;"-EV-"&amp;TEXT(1,"000"))</f>
        <v/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 ht="22" customHeight="1">
      <c r="A5" s="7" t="n">
        <v>2</v>
      </c>
      <c r="B5" s="8" t="n"/>
      <c r="C5" s="9">
        <f>IF(B5="","",B5&amp;"-EV-"&amp;TEXT(2,"000"))</f>
        <v/>
      </c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</row>
    <row r="6" ht="22" customHeight="1">
      <c r="A6" s="4" t="n">
        <v>3</v>
      </c>
      <c r="B6" s="5" t="n"/>
      <c r="C6" s="6">
        <f>IF(B6="","",B6&amp;"-EV-"&amp;TEXT(3,"000"))</f>
        <v/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  <row r="7" ht="22" customHeight="1">
      <c r="A7" s="7" t="n">
        <v>4</v>
      </c>
      <c r="B7" s="8" t="n"/>
      <c r="C7" s="9">
        <f>IF(B7="","",B7&amp;"-EV-"&amp;TEXT(4,"000"))</f>
        <v/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</row>
    <row r="8" ht="22" customHeight="1">
      <c r="A8" s="4" t="n">
        <v>5</v>
      </c>
      <c r="B8" s="5" t="n"/>
      <c r="C8" s="6">
        <f>IF(B8="","",B8&amp;"-EV-"&amp;TEXT(5,"000"))</f>
        <v/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</row>
    <row r="9" ht="22" customHeight="1">
      <c r="A9" s="7" t="n">
        <v>6</v>
      </c>
      <c r="B9" s="8" t="n"/>
      <c r="C9" s="9">
        <f>IF(B9="","",B9&amp;"-EV-"&amp;TEXT(6,"000"))</f>
        <v/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</row>
    <row r="10" ht="22" customHeight="1">
      <c r="A10" s="4" t="n">
        <v>7</v>
      </c>
      <c r="B10" s="5" t="n"/>
      <c r="C10" s="6">
        <f>IF(B10="","",B10&amp;"-EV-"&amp;TEXT(7,"000"))</f>
        <v/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</row>
    <row r="11" ht="22" customHeight="1">
      <c r="A11" s="7" t="n">
        <v>8</v>
      </c>
      <c r="B11" s="8" t="n"/>
      <c r="C11" s="9">
        <f>IF(B11="","",B11&amp;"-EV-"&amp;TEXT(8,"000"))</f>
        <v/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</row>
    <row r="12" ht="22" customHeight="1">
      <c r="A12" s="4" t="n">
        <v>9</v>
      </c>
      <c r="B12" s="5" t="n"/>
      <c r="C12" s="6">
        <f>IF(B12="","",B12&amp;"-EV-"&amp;TEXT(9,"000"))</f>
        <v/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</row>
    <row r="13" ht="22" customHeight="1">
      <c r="A13" s="7" t="n">
        <v>10</v>
      </c>
      <c r="B13" s="8" t="n"/>
      <c r="C13" s="9">
        <f>IF(B13="","",B13&amp;"-EV-"&amp;TEXT(10,"000"))</f>
        <v/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</row>
    <row r="14" ht="22" customHeight="1">
      <c r="A14" s="4" t="n">
        <v>11</v>
      </c>
      <c r="B14" s="5" t="n"/>
      <c r="C14" s="6">
        <f>IF(B14="","",B14&amp;"-EV-"&amp;TEXT(11,"000"))</f>
        <v/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</row>
    <row r="15" ht="22" customHeight="1">
      <c r="A15" s="7" t="n">
        <v>12</v>
      </c>
      <c r="B15" s="8" t="n"/>
      <c r="C15" s="9">
        <f>IF(B15="","",B15&amp;"-EV-"&amp;TEXT(12,"000"))</f>
        <v/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</row>
    <row r="16" ht="22" customHeight="1">
      <c r="A16" s="4" t="n">
        <v>13</v>
      </c>
      <c r="B16" s="5" t="n"/>
      <c r="C16" s="6">
        <f>IF(B16="","",B16&amp;"-EV-"&amp;TEXT(13,"000"))</f>
        <v/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</row>
    <row r="17" ht="22" customHeight="1">
      <c r="A17" s="7" t="n">
        <v>14</v>
      </c>
      <c r="B17" s="8" t="n"/>
      <c r="C17" s="9">
        <f>IF(B17="","",B17&amp;"-EV-"&amp;TEXT(14,"000"))</f>
        <v/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</row>
    <row r="18" ht="22" customHeight="1">
      <c r="A18" s="4" t="n">
        <v>15</v>
      </c>
      <c r="B18" s="5" t="n"/>
      <c r="C18" s="6">
        <f>IF(B18="","",B18&amp;"-EV-"&amp;TEXT(15,"000"))</f>
        <v/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</row>
    <row r="19" ht="22" customHeight="1">
      <c r="A19" s="7" t="n">
        <v>16</v>
      </c>
      <c r="B19" s="8" t="n"/>
      <c r="C19" s="9">
        <f>IF(B19="","",B19&amp;"-EV-"&amp;TEXT(16,"000"))</f>
        <v/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</row>
    <row r="20" ht="22" customHeight="1">
      <c r="A20" s="4" t="n">
        <v>17</v>
      </c>
      <c r="B20" s="5" t="n"/>
      <c r="C20" s="6">
        <f>IF(B20="","",B20&amp;"-EV-"&amp;TEXT(17,"000"))</f>
        <v/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</row>
    <row r="21" ht="22" customHeight="1">
      <c r="A21" s="7" t="n">
        <v>18</v>
      </c>
      <c r="B21" s="8" t="n"/>
      <c r="C21" s="9">
        <f>IF(B21="","",B21&amp;"-EV-"&amp;TEXT(18,"000"))</f>
        <v/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</row>
    <row r="22" ht="22" customHeight="1">
      <c r="A22" s="4" t="n">
        <v>19</v>
      </c>
      <c r="B22" s="5" t="n"/>
      <c r="C22" s="6">
        <f>IF(B22="","",B22&amp;"-EV-"&amp;TEXT(19,"000"))</f>
        <v/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</row>
    <row r="23" ht="22" customHeight="1">
      <c r="A23" s="7" t="n">
        <v>20</v>
      </c>
      <c r="B23" s="8" t="n"/>
      <c r="C23" s="9">
        <f>IF(B23="","",B23&amp;"-EV-"&amp;TEXT(20,"000"))</f>
        <v/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</row>
    <row r="24" ht="22" customHeight="1">
      <c r="A24" s="4" t="n">
        <v>21</v>
      </c>
      <c r="B24" s="5" t="n"/>
      <c r="C24" s="6">
        <f>IF(B24="","",B24&amp;"-EV-"&amp;TEXT(21,"000"))</f>
        <v/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</row>
    <row r="25" ht="22" customHeight="1">
      <c r="A25" s="7" t="n">
        <v>22</v>
      </c>
      <c r="B25" s="8" t="n"/>
      <c r="C25" s="9">
        <f>IF(B25="","",B25&amp;"-EV-"&amp;TEXT(22,"000"))</f>
        <v/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</row>
    <row r="26" ht="22" customHeight="1">
      <c r="A26" s="4" t="n">
        <v>23</v>
      </c>
      <c r="B26" s="5" t="n"/>
      <c r="C26" s="6">
        <f>IF(B26="","",B26&amp;"-EV-"&amp;TEXT(23,"000"))</f>
        <v/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</row>
    <row r="27" ht="22" customHeight="1">
      <c r="A27" s="7" t="n">
        <v>24</v>
      </c>
      <c r="B27" s="8" t="n"/>
      <c r="C27" s="9">
        <f>IF(B27="","",B27&amp;"-EV-"&amp;TEXT(24,"000"))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</row>
    <row r="28" ht="22" customHeight="1">
      <c r="A28" s="4" t="n">
        <v>25</v>
      </c>
      <c r="B28" s="5" t="n"/>
      <c r="C28" s="6">
        <f>IF(B28="","",B28&amp;"-EV-"&amp;TEXT(25,"000"))</f>
        <v/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</row>
    <row r="29" ht="22" customHeight="1">
      <c r="A29" s="7" t="n">
        <v>26</v>
      </c>
      <c r="B29" s="8" t="n"/>
      <c r="C29" s="9">
        <f>IF(B29="","",B29&amp;"-EV-"&amp;TEXT(26,"000"))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</row>
    <row r="30" ht="22" customHeight="1">
      <c r="A30" s="4" t="n">
        <v>27</v>
      </c>
      <c r="B30" s="5" t="n"/>
      <c r="C30" s="6">
        <f>IF(B30="","",B30&amp;"-EV-"&amp;TEXT(27,"000"))</f>
        <v/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</row>
    <row r="31" ht="22" customHeight="1">
      <c r="A31" s="7" t="n">
        <v>28</v>
      </c>
      <c r="B31" s="8" t="n"/>
      <c r="C31" s="9">
        <f>IF(B31="","",B31&amp;"-EV-"&amp;TEXT(28,"000"))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</row>
    <row r="32" ht="22" customHeight="1">
      <c r="A32" s="4" t="n">
        <v>29</v>
      </c>
      <c r="B32" s="5" t="n"/>
      <c r="C32" s="6">
        <f>IF(B32="","",B32&amp;"-EV-"&amp;TEXT(29,"000"))</f>
        <v/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</row>
    <row r="33" ht="22" customHeight="1">
      <c r="A33" s="7" t="n">
        <v>30</v>
      </c>
      <c r="B33" s="8" t="n"/>
      <c r="C33" s="9">
        <f>IF(B33="","",B33&amp;"-EV-"&amp;TEXT(30,"000"))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</row>
    <row r="34" ht="22" customHeight="1">
      <c r="A34" s="4" t="n">
        <v>31</v>
      </c>
      <c r="B34" s="5" t="n"/>
      <c r="C34" s="6">
        <f>IF(B34="","",B34&amp;"-EV-"&amp;TEXT(31,"000"))</f>
        <v/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</row>
    <row r="35" ht="22" customHeight="1">
      <c r="A35" s="7" t="n">
        <v>32</v>
      </c>
      <c r="B35" s="8" t="n"/>
      <c r="C35" s="9">
        <f>IF(B35="","",B35&amp;"-EV-"&amp;TEXT(32,"000"))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</row>
    <row r="36" ht="22" customHeight="1">
      <c r="A36" s="4" t="n">
        <v>33</v>
      </c>
      <c r="B36" s="5" t="n"/>
      <c r="C36" s="6">
        <f>IF(B36="","",B36&amp;"-EV-"&amp;TEXT(33,"000"))</f>
        <v/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</row>
    <row r="37" ht="22" customHeight="1">
      <c r="A37" s="7" t="n">
        <v>34</v>
      </c>
      <c r="B37" s="8" t="n"/>
      <c r="C37" s="9">
        <f>IF(B37="","",B37&amp;"-EV-"&amp;TEXT(34,"000"))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</row>
    <row r="38" ht="22" customHeight="1">
      <c r="A38" s="4" t="n">
        <v>35</v>
      </c>
      <c r="B38" s="5" t="n"/>
      <c r="C38" s="6">
        <f>IF(B38="","",B38&amp;"-EV-"&amp;TEXT(35,"000"))</f>
        <v/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</row>
    <row r="39" ht="22" customHeight="1">
      <c r="A39" s="7" t="n">
        <v>36</v>
      </c>
      <c r="B39" s="8" t="n"/>
      <c r="C39" s="9">
        <f>IF(B39="","",B39&amp;"-EV-"&amp;TEXT(36,"000"))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</row>
    <row r="40" ht="22" customHeight="1">
      <c r="A40" s="4" t="n">
        <v>37</v>
      </c>
      <c r="B40" s="5" t="n"/>
      <c r="C40" s="6">
        <f>IF(B40="","",B40&amp;"-EV-"&amp;TEXT(37,"000"))</f>
        <v/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</row>
    <row r="41" ht="22" customHeight="1">
      <c r="A41" s="7" t="n">
        <v>38</v>
      </c>
      <c r="B41" s="8" t="n"/>
      <c r="C41" s="9">
        <f>IF(B41="","",B41&amp;"-EV-"&amp;TEXT(38,"000"))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</row>
    <row r="42" ht="22" customHeight="1">
      <c r="A42" s="4" t="n">
        <v>39</v>
      </c>
      <c r="B42" s="5" t="n"/>
      <c r="C42" s="6">
        <f>IF(B42="","",B42&amp;"-EV-"&amp;TEXT(39,"000"))</f>
        <v/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</row>
    <row r="43" ht="22" customHeight="1">
      <c r="A43" s="7" t="n">
        <v>40</v>
      </c>
      <c r="B43" s="8" t="n"/>
      <c r="C43" s="9">
        <f>IF(B43="","",B43&amp;"-EV-"&amp;TEXT(40,"000"))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</row>
    <row r="44" ht="22" customHeight="1">
      <c r="A44" s="4" t="n">
        <v>41</v>
      </c>
      <c r="B44" s="5" t="n"/>
      <c r="C44" s="6">
        <f>IF(B44="","",B44&amp;"-EV-"&amp;TEXT(41,"000"))</f>
        <v/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</row>
    <row r="45" ht="22" customHeight="1">
      <c r="A45" s="7" t="n">
        <v>42</v>
      </c>
      <c r="B45" s="8" t="n"/>
      <c r="C45" s="9">
        <f>IF(B45="","",B45&amp;"-EV-"&amp;TEXT(42,"000"))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</row>
    <row r="46" ht="22" customHeight="1">
      <c r="A46" s="4" t="n">
        <v>43</v>
      </c>
      <c r="B46" s="5" t="n"/>
      <c r="C46" s="6">
        <f>IF(B46="","",B46&amp;"-EV-"&amp;TEXT(43,"000"))</f>
        <v/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</row>
    <row r="47" ht="22" customHeight="1">
      <c r="A47" s="7" t="n">
        <v>44</v>
      </c>
      <c r="B47" s="8" t="n"/>
      <c r="C47" s="9">
        <f>IF(B47="","",B47&amp;"-EV-"&amp;TEXT(44,"000"))</f>
        <v/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</row>
    <row r="48" ht="22" customHeight="1">
      <c r="A48" s="4" t="n">
        <v>45</v>
      </c>
      <c r="B48" s="5" t="n"/>
      <c r="C48" s="6">
        <f>IF(B48="","",B48&amp;"-EV-"&amp;TEXT(45,"000"))</f>
        <v/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</row>
    <row r="49" ht="22" customHeight="1">
      <c r="A49" s="7" t="n">
        <v>46</v>
      </c>
      <c r="B49" s="8" t="n"/>
      <c r="C49" s="9">
        <f>IF(B49="","",B49&amp;"-EV-"&amp;TEXT(46,"000"))</f>
        <v/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</row>
    <row r="50" ht="22" customHeight="1">
      <c r="A50" s="4" t="n">
        <v>47</v>
      </c>
      <c r="B50" s="5" t="n"/>
      <c r="C50" s="6">
        <f>IF(B50="","",B50&amp;"-EV-"&amp;TEXT(47,"000"))</f>
        <v/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</row>
    <row r="51" ht="22" customHeight="1">
      <c r="A51" s="7" t="n">
        <v>48</v>
      </c>
      <c r="B51" s="8" t="n"/>
      <c r="C51" s="9">
        <f>IF(B51="","",B51&amp;"-EV-"&amp;TEXT(48,"000"))</f>
        <v/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</row>
    <row r="52" ht="22" customHeight="1">
      <c r="A52" s="4" t="n">
        <v>49</v>
      </c>
      <c r="B52" s="5" t="n"/>
      <c r="C52" s="6">
        <f>IF(B52="","",B52&amp;"-EV-"&amp;TEXT(49,"000"))</f>
        <v/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</row>
    <row r="53" ht="22" customHeight="1">
      <c r="A53" s="7" t="n">
        <v>50</v>
      </c>
      <c r="B53" s="8" t="n"/>
      <c r="C53" s="9">
        <f>IF(B53="","",B53&amp;"-EV-"&amp;TEXT(50,"000"))</f>
        <v/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</row>
    <row r="54" ht="22" customHeight="1">
      <c r="A54" s="4" t="n">
        <v>51</v>
      </c>
      <c r="B54" s="5" t="n"/>
      <c r="C54" s="6">
        <f>IF(B54="","",B54&amp;"-EV-"&amp;TEXT(51,"000"))</f>
        <v/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</row>
    <row r="55" ht="22" customHeight="1">
      <c r="A55" s="7" t="n">
        <v>52</v>
      </c>
      <c r="B55" s="8" t="n"/>
      <c r="C55" s="9">
        <f>IF(B55="","",B55&amp;"-EV-"&amp;TEXT(52,"000"))</f>
        <v/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</row>
    <row r="56" ht="22" customHeight="1">
      <c r="A56" s="4" t="n">
        <v>53</v>
      </c>
      <c r="B56" s="5" t="n"/>
      <c r="C56" s="6">
        <f>IF(B56="","",B56&amp;"-EV-"&amp;TEXT(53,"000"))</f>
        <v/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</row>
    <row r="57" ht="22" customHeight="1">
      <c r="A57" s="7" t="n">
        <v>54</v>
      </c>
      <c r="B57" s="8" t="n"/>
      <c r="C57" s="9">
        <f>IF(B57="","",B57&amp;"-EV-"&amp;TEXT(54,"000"))</f>
        <v/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</row>
    <row r="58" ht="22" customHeight="1">
      <c r="A58" s="4" t="n">
        <v>55</v>
      </c>
      <c r="B58" s="5" t="n"/>
      <c r="C58" s="6">
        <f>IF(B58="","",B58&amp;"-EV-"&amp;TEXT(55,"000"))</f>
        <v/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</row>
    <row r="59" ht="22" customHeight="1">
      <c r="A59" s="7" t="n">
        <v>56</v>
      </c>
      <c r="B59" s="8" t="n"/>
      <c r="C59" s="9">
        <f>IF(B59="","",B59&amp;"-EV-"&amp;TEXT(56,"000"))</f>
        <v/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</row>
    <row r="60" ht="22" customHeight="1">
      <c r="A60" s="4" t="n">
        <v>57</v>
      </c>
      <c r="B60" s="5" t="n"/>
      <c r="C60" s="6">
        <f>IF(B60="","",B60&amp;"-EV-"&amp;TEXT(57,"000"))</f>
        <v/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</row>
    <row r="61" ht="22" customHeight="1">
      <c r="A61" s="7" t="n">
        <v>58</v>
      </c>
      <c r="B61" s="8" t="n"/>
      <c r="C61" s="9">
        <f>IF(B61="","",B61&amp;"-EV-"&amp;TEXT(58,"000"))</f>
        <v/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</row>
    <row r="62" ht="22" customHeight="1">
      <c r="A62" s="4" t="n">
        <v>59</v>
      </c>
      <c r="B62" s="5" t="n"/>
      <c r="C62" s="6">
        <f>IF(B62="","",B62&amp;"-EV-"&amp;TEXT(59,"000"))</f>
        <v/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</row>
    <row r="63" ht="22" customHeight="1">
      <c r="A63" s="7" t="n">
        <v>60</v>
      </c>
      <c r="B63" s="8" t="n"/>
      <c r="C63" s="9">
        <f>IF(B63="","",B63&amp;"-EV-"&amp;TEXT(60,"000"))</f>
        <v/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</row>
    <row r="64" ht="22" customHeight="1">
      <c r="A64" s="4" t="n">
        <v>61</v>
      </c>
      <c r="B64" s="5" t="n"/>
      <c r="C64" s="6">
        <f>IF(B64="","",B64&amp;"-EV-"&amp;TEXT(61,"000"))</f>
        <v/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</row>
    <row r="65" ht="22" customHeight="1">
      <c r="A65" s="7" t="n">
        <v>62</v>
      </c>
      <c r="B65" s="8" t="n"/>
      <c r="C65" s="9">
        <f>IF(B65="","",B65&amp;"-EV-"&amp;TEXT(62,"000"))</f>
        <v/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</row>
    <row r="66" ht="22" customHeight="1">
      <c r="A66" s="4" t="n">
        <v>63</v>
      </c>
      <c r="B66" s="5" t="n"/>
      <c r="C66" s="6">
        <f>IF(B66="","",B66&amp;"-EV-"&amp;TEXT(63,"000"))</f>
        <v/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</row>
    <row r="67" ht="22" customHeight="1">
      <c r="A67" s="7" t="n">
        <v>64</v>
      </c>
      <c r="B67" s="8" t="n"/>
      <c r="C67" s="9">
        <f>IF(B67="","",B67&amp;"-EV-"&amp;TEXT(64,"000"))</f>
        <v/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</row>
    <row r="68" ht="22" customHeight="1">
      <c r="A68" s="4" t="n">
        <v>65</v>
      </c>
      <c r="B68" s="5" t="n"/>
      <c r="C68" s="6">
        <f>IF(B68="","",B68&amp;"-EV-"&amp;TEXT(65,"000"))</f>
        <v/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</row>
    <row r="69" ht="22" customHeight="1">
      <c r="A69" s="7" t="n">
        <v>66</v>
      </c>
      <c r="B69" s="8" t="n"/>
      <c r="C69" s="9">
        <f>IF(B69="","",B69&amp;"-EV-"&amp;TEXT(66,"000"))</f>
        <v/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</row>
    <row r="70" ht="22" customHeight="1">
      <c r="A70" s="4" t="n">
        <v>67</v>
      </c>
      <c r="B70" s="5" t="n"/>
      <c r="C70" s="6">
        <f>IF(B70="","",B70&amp;"-EV-"&amp;TEXT(67,"000"))</f>
        <v/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</row>
    <row r="71" ht="22" customHeight="1">
      <c r="A71" s="7" t="n">
        <v>68</v>
      </c>
      <c r="B71" s="8" t="n"/>
      <c r="C71" s="9">
        <f>IF(B71="","",B71&amp;"-EV-"&amp;TEXT(68,"000"))</f>
        <v/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</row>
    <row r="72" ht="22" customHeight="1">
      <c r="A72" s="4" t="n">
        <v>69</v>
      </c>
      <c r="B72" s="5" t="n"/>
      <c r="C72" s="6">
        <f>IF(B72="","",B72&amp;"-EV-"&amp;TEXT(69,"000"))</f>
        <v/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</row>
    <row r="73" ht="22" customHeight="1">
      <c r="A73" s="7" t="n">
        <v>70</v>
      </c>
      <c r="B73" s="8" t="n"/>
      <c r="C73" s="9">
        <f>IF(B73="","",B73&amp;"-EV-"&amp;TEXT(70,"000"))</f>
        <v/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</row>
    <row r="74" ht="22" customHeight="1">
      <c r="A74" s="4" t="n">
        <v>71</v>
      </c>
      <c r="B74" s="5" t="n"/>
      <c r="C74" s="6">
        <f>IF(B74="","",B74&amp;"-EV-"&amp;TEXT(71,"000"))</f>
        <v/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</row>
    <row r="75" ht="22" customHeight="1">
      <c r="A75" s="7" t="n">
        <v>72</v>
      </c>
      <c r="B75" s="8" t="n"/>
      <c r="C75" s="9">
        <f>IF(B75="","",B75&amp;"-EV-"&amp;TEXT(72,"000"))</f>
        <v/>
      </c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</row>
    <row r="76" ht="22" customHeight="1">
      <c r="A76" s="4" t="n">
        <v>73</v>
      </c>
      <c r="B76" s="5" t="n"/>
      <c r="C76" s="6">
        <f>IF(B76="","",B76&amp;"-EV-"&amp;TEXT(73,"000"))</f>
        <v/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</row>
    <row r="77" ht="22" customHeight="1">
      <c r="A77" s="7" t="n">
        <v>74</v>
      </c>
      <c r="B77" s="8" t="n"/>
      <c r="C77" s="9">
        <f>IF(B77="","",B77&amp;"-EV-"&amp;TEXT(74,"000"))</f>
        <v/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</row>
    <row r="78" ht="22" customHeight="1">
      <c r="A78" s="4" t="n">
        <v>75</v>
      </c>
      <c r="B78" s="5" t="n"/>
      <c r="C78" s="6">
        <f>IF(B78="","",B78&amp;"-EV-"&amp;TEXT(75,"000"))</f>
        <v/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</row>
    <row r="79" ht="22" customHeight="1">
      <c r="A79" s="7" t="n">
        <v>76</v>
      </c>
      <c r="B79" s="8" t="n"/>
      <c r="C79" s="9">
        <f>IF(B79="","",B79&amp;"-EV-"&amp;TEXT(76,"000"))</f>
        <v/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</row>
    <row r="80" ht="22" customHeight="1">
      <c r="A80" s="4" t="n">
        <v>77</v>
      </c>
      <c r="B80" s="5" t="n"/>
      <c r="C80" s="6">
        <f>IF(B80="","",B80&amp;"-EV-"&amp;TEXT(77,"000"))</f>
        <v/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</row>
    <row r="81" ht="22" customHeight="1">
      <c r="A81" s="7" t="n">
        <v>78</v>
      </c>
      <c r="B81" s="8" t="n"/>
      <c r="C81" s="9">
        <f>IF(B81="","",B81&amp;"-EV-"&amp;TEXT(78,"000"))</f>
        <v/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</row>
    <row r="82" ht="22" customHeight="1">
      <c r="A82" s="4" t="n">
        <v>79</v>
      </c>
      <c r="B82" s="5" t="n"/>
      <c r="C82" s="6">
        <f>IF(B82="","",B82&amp;"-EV-"&amp;TEXT(79,"000"))</f>
        <v/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</row>
    <row r="83" ht="22" customHeight="1">
      <c r="A83" s="7" t="n">
        <v>80</v>
      </c>
      <c r="B83" s="8" t="n"/>
      <c r="C83" s="9">
        <f>IF(B83="","",B83&amp;"-EV-"&amp;TEXT(80,"000"))</f>
        <v/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</row>
    <row r="84" ht="22" customHeight="1">
      <c r="A84" s="4" t="n">
        <v>81</v>
      </c>
      <c r="B84" s="5" t="n"/>
      <c r="C84" s="6">
        <f>IF(B84="","",B84&amp;"-EV-"&amp;TEXT(81,"000"))</f>
        <v/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</row>
    <row r="85" ht="22" customHeight="1">
      <c r="A85" s="7" t="n">
        <v>82</v>
      </c>
      <c r="B85" s="8" t="n"/>
      <c r="C85" s="9">
        <f>IF(B85="","",B85&amp;"-EV-"&amp;TEXT(82,"000"))</f>
        <v/>
      </c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</row>
    <row r="86" ht="22" customHeight="1">
      <c r="A86" s="4" t="n">
        <v>83</v>
      </c>
      <c r="B86" s="5" t="n"/>
      <c r="C86" s="6">
        <f>IF(B86="","",B86&amp;"-EV-"&amp;TEXT(83,"000"))</f>
        <v/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</row>
    <row r="87" ht="22" customHeight="1">
      <c r="A87" s="7" t="n">
        <v>84</v>
      </c>
      <c r="B87" s="8" t="n"/>
      <c r="C87" s="9">
        <f>IF(B87="","",B87&amp;"-EV-"&amp;TEXT(84,"000"))</f>
        <v/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</row>
    <row r="88" ht="22" customHeight="1">
      <c r="A88" s="4" t="n">
        <v>85</v>
      </c>
      <c r="B88" s="5" t="n"/>
      <c r="C88" s="6">
        <f>IF(B88="","",B88&amp;"-EV-"&amp;TEXT(85,"000"))</f>
        <v/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</row>
    <row r="89" ht="22" customHeight="1">
      <c r="A89" s="7" t="n">
        <v>86</v>
      </c>
      <c r="B89" s="8" t="n"/>
      <c r="C89" s="9">
        <f>IF(B89="","",B89&amp;"-EV-"&amp;TEXT(86,"000"))</f>
        <v/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</row>
    <row r="90" ht="22" customHeight="1">
      <c r="A90" s="4" t="n">
        <v>87</v>
      </c>
      <c r="B90" s="5" t="n"/>
      <c r="C90" s="6">
        <f>IF(B90="","",B90&amp;"-EV-"&amp;TEXT(87,"000"))</f>
        <v/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</row>
    <row r="91" ht="22" customHeight="1">
      <c r="A91" s="7" t="n">
        <v>88</v>
      </c>
      <c r="B91" s="8" t="n"/>
      <c r="C91" s="9">
        <f>IF(B91="","",B91&amp;"-EV-"&amp;TEXT(88,"000"))</f>
        <v/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</row>
    <row r="92" ht="22" customHeight="1">
      <c r="A92" s="4" t="n">
        <v>89</v>
      </c>
      <c r="B92" s="5" t="n"/>
      <c r="C92" s="6">
        <f>IF(B92="","",B92&amp;"-EV-"&amp;TEXT(89,"000"))</f>
        <v/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</row>
    <row r="93" ht="22" customHeight="1">
      <c r="A93" s="7" t="n">
        <v>90</v>
      </c>
      <c r="B93" s="8" t="n"/>
      <c r="C93" s="9">
        <f>IF(B93="","",B93&amp;"-EV-"&amp;TEXT(90,"000"))</f>
        <v/>
      </c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</row>
    <row r="94" ht="22" customHeight="1">
      <c r="A94" s="4" t="n">
        <v>91</v>
      </c>
      <c r="B94" s="5" t="n"/>
      <c r="C94" s="6">
        <f>IF(B94="","",B94&amp;"-EV-"&amp;TEXT(91,"000"))</f>
        <v/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</row>
    <row r="95" ht="22" customHeight="1">
      <c r="A95" s="7" t="n">
        <v>92</v>
      </c>
      <c r="B95" s="8" t="n"/>
      <c r="C95" s="9">
        <f>IF(B95="","",B95&amp;"-EV-"&amp;TEXT(92,"000"))</f>
        <v/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</row>
    <row r="96" ht="22" customHeight="1">
      <c r="A96" s="4" t="n">
        <v>93</v>
      </c>
      <c r="B96" s="5" t="n"/>
      <c r="C96" s="6">
        <f>IF(B96="","",B96&amp;"-EV-"&amp;TEXT(93,"000"))</f>
        <v/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</row>
    <row r="97" ht="22" customHeight="1">
      <c r="A97" s="7" t="n">
        <v>94</v>
      </c>
      <c r="B97" s="8" t="n"/>
      <c r="C97" s="9">
        <f>IF(B97="","",B97&amp;"-EV-"&amp;TEXT(94,"000"))</f>
        <v/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</row>
    <row r="98" ht="22" customHeight="1">
      <c r="A98" s="4" t="n">
        <v>95</v>
      </c>
      <c r="B98" s="5" t="n"/>
      <c r="C98" s="6">
        <f>IF(B98="","",B98&amp;"-EV-"&amp;TEXT(95,"000"))</f>
        <v/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</row>
    <row r="99" ht="22" customHeight="1">
      <c r="A99" s="7" t="n">
        <v>96</v>
      </c>
      <c r="B99" s="8" t="n"/>
      <c r="C99" s="9">
        <f>IF(B99="","",B99&amp;"-EV-"&amp;TEXT(96,"000"))</f>
        <v/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</row>
    <row r="100" ht="22" customHeight="1">
      <c r="A100" s="4" t="n">
        <v>97</v>
      </c>
      <c r="B100" s="5" t="n"/>
      <c r="C100" s="6">
        <f>IF(B100="","",B100&amp;"-EV-"&amp;TEXT(97,"000"))</f>
        <v/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</row>
    <row r="101" ht="22" customHeight="1">
      <c r="A101" s="7" t="n">
        <v>98</v>
      </c>
      <c r="B101" s="8" t="n"/>
      <c r="C101" s="9">
        <f>IF(B101="","",B101&amp;"-EV-"&amp;TEXT(98,"000"))</f>
        <v/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</row>
    <row r="102" ht="22" customHeight="1">
      <c r="A102" s="4" t="n">
        <v>99</v>
      </c>
      <c r="B102" s="5" t="n"/>
      <c r="C102" s="6">
        <f>IF(B102="","",B102&amp;"-EV-"&amp;TEXT(99,"000"))</f>
        <v/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</row>
    <row r="103" ht="22" customHeight="1">
      <c r="A103" s="7" t="n">
        <v>100</v>
      </c>
      <c r="B103" s="8" t="n"/>
      <c r="C103" s="9">
        <f>IF(B103="","",B103&amp;"-EV-"&amp;TEXT(100,"000"))</f>
        <v/>
      </c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</row>
  </sheetData>
  <mergeCells count="2">
    <mergeCell ref="A1:AF1"/>
    <mergeCell ref="A2:AF2"/>
  </mergeCells>
  <conditionalFormatting sqref="AB4:AB103">
    <cfRule type="containsText" priority="1" operator="containsText" dxfId="0" text="Active">
      <formula>NOT(ISERROR(SEARCH("Active",AB4)))</formula>
    </cfRule>
    <cfRule type="containsText" priority="2" operator="containsText" dxfId="0" text="Completed">
      <formula>NOT(ISERROR(SEARCH("Completed",AB4)))</formula>
    </cfRule>
    <cfRule type="containsText" priority="3" operator="containsText" dxfId="0" text="Approved">
      <formula>NOT(ISERROR(SEARCH("Approved",AB4)))</formula>
    </cfRule>
    <cfRule type="containsText" priority="4" operator="containsText" dxfId="0" text="Published">
      <formula>NOT(ISERROR(SEARCH("Published",AB4)))</formula>
    </cfRule>
    <cfRule type="containsText" priority="5" operator="containsText" dxfId="0" text="Live">
      <formula>NOT(ISERROR(SEARCH("Live",AB4)))</formula>
    </cfRule>
    <cfRule type="containsText" priority="6" operator="containsText" dxfId="0" text="Optimised">
      <formula>NOT(ISERROR(SEARCH("Optimised",AB4)))</formula>
    </cfRule>
    <cfRule type="containsText" priority="7" operator="containsText" dxfId="1" text="Cancelled">
      <formula>NOT(ISERROR(SEARCH("Cancelled",AB4)))</formula>
    </cfRule>
    <cfRule type="containsText" priority="8" operator="containsText" dxfId="1" text="Rejected">
      <formula>NOT(ISERROR(SEARCH("Rejected",AB4)))</formula>
    </cfRule>
    <cfRule type="containsText" priority="9" operator="containsText" dxfId="2" text="On Hold">
      <formula>NOT(ISERROR(SEARCH("On Hold",AB4)))</formula>
    </cfRule>
    <cfRule type="containsText" priority="10" operator="containsText" dxfId="2" text="Paused">
      <formula>NOT(ISERROR(SEARCH("Paused",AB4)))</formula>
    </cfRule>
    <cfRule type="containsText" priority="11" operator="containsText" dxfId="2" text="Revision">
      <formula>NOT(ISERROR(SEARCH("Revision",AB4)))</formula>
    </cfRule>
    <cfRule type="containsText" priority="12" operator="containsText" dxfId="2" text="Changes">
      <formula>NOT(ISERROR(SEARCH("Changes",AB4)))</formula>
    </cfRule>
    <cfRule type="containsText" priority="13" operator="containsText" dxfId="3" text="Planning">
      <formula>NOT(ISERROR(SEARCH("Planning",AB4)))</formula>
    </cfRule>
    <cfRule type="containsText" priority="14" operator="containsText" dxfId="3" text="Briefed">
      <formula>NOT(ISERROR(SEARCH("Briefed",AB4)))</formula>
    </cfRule>
    <cfRule type="containsText" priority="15" operator="containsText" dxfId="4" text="Progress">
      <formula>NOT(ISERROR(SEARCH("Progress",AB4)))</formula>
    </cfRule>
  </conditionalFormatting>
  <conditionalFormatting sqref="AC4:AC103">
    <cfRule type="containsText" priority="16" operator="containsText" dxfId="0" text="Approved">
      <formula>NOT(ISERROR(SEARCH("Approved",AC4)))</formula>
    </cfRule>
    <cfRule type="containsText" priority="17" operator="containsText" dxfId="1" text="Rejected">
      <formula>NOT(ISERROR(SEARCH("Rejected",AC4)))</formula>
    </cfRule>
    <cfRule type="containsText" priority="18" operator="containsText" dxfId="2" text="Changes">
      <formula>NOT(ISERROR(SEARCH("Changes",AC4)))</formula>
    </cfRule>
    <cfRule type="containsText" priority="19" operator="containsText" dxfId="3" text="Pending">
      <formula>NOT(ISERROR(SEARCH("Pending",AC4)))</formula>
    </cfRule>
  </conditionalFormatting>
  <conditionalFormatting sqref="AD4:AD103">
    <cfRule type="containsText" priority="20" operator="containsText" dxfId="0" text="Approved">
      <formula>NOT(ISERROR(SEARCH("Approved",AD4)))</formula>
    </cfRule>
    <cfRule type="containsText" priority="21" operator="containsText" dxfId="1" text="Rejected">
      <formula>NOT(ISERROR(SEARCH("Rejected",AD4)))</formula>
    </cfRule>
    <cfRule type="containsText" priority="22" operator="containsText" dxfId="2" text="Changes">
      <formula>NOT(ISERROR(SEARCH("Changes",AD4)))</formula>
    </cfRule>
    <cfRule type="containsText" priority="23" operator="containsText" dxfId="3" text="Pending">
      <formula>NOT(ISERROR(SEARCH("Pending",AD4)))</formula>
    </cfRule>
  </conditionalFormatting>
  <conditionalFormatting sqref="AA4:AA103">
    <cfRule type="containsText" priority="24" operator="containsText" dxfId="1" text="Critical">
      <formula>NOT(ISERROR(SEARCH("Critical",AA4)))</formula>
    </cfRule>
    <cfRule type="containsText" priority="25" operator="containsText" dxfId="2" text="High">
      <formula>NOT(ISERROR(SEARCH("High",AA4)))</formula>
    </cfRule>
    <cfRule type="containsText" priority="26" operator="containsText" dxfId="4" text="Medium">
      <formula>NOT(ISERROR(SEARCH("Medium",AA4)))</formula>
    </cfRule>
    <cfRule type="containsText" priority="27" operator="containsText" dxfId="0" text="Low">
      <formula>NOT(ISERROR(SEARCH("Low",AA4)))</formula>
    </cfRule>
  </conditionalFormatting>
  <dataValidations count="14">
    <dataValidation sqref="D4:D103" showDropDown="0" showInputMessage="1" showErrorMessage="1" allowBlank="1" errorTitle="Invalid" error="Select from dropdown." promptTitle="Vertical" prompt="Select vertical." type="list">
      <formula1>"Digital Transformation,Industrial Goods &amp; Consumer Products,Structural Engineering,MedTech,Energy &amp; Utilities,Sustainability,BFSI,Product Innovation,SolidPro AI,Other"</formula1>
    </dataValidation>
    <dataValidation sqref="AA4:AA103" showDropDown="0" showInputMessage="1" showErrorMessage="1" allowBlank="1" errorTitle="Invalid" error="Select from dropdown." promptTitle="Priority" prompt="Urgency level." type="list">
      <formula1>"🔴 Critical,🟠 High,🟡 Medium,🟢 Low"</formula1>
    </dataValidation>
    <dataValidation sqref="AB4:AB103" showDropDown="0" showInputMessage="1" showErrorMessage="1" allowBlank="1" errorTitle="Invalid" error="Select from dropdown." promptTitle="Status" prompt="Workflow status." type="list">
      <formula1>"📋 Briefed,✍ In Progress,🔁 In Revision,✅ Approved by Project Head,✅ Approved by Manager,🚀 Published / Live,⏸ On Hold,❌ Cancelled"</formula1>
    </dataValidation>
    <dataValidation sqref="AC4:AC103" showDropDown="0" showInputMessage="1" showErrorMessage="1" allowBlank="1" errorTitle="Invalid" error="Select from dropdown." promptTitle="PH Approval" prompt="Project Head approval." type="list">
      <formula1>"⏳ Pending,✅ Approved,🔁 Changes Requested,❌ Rejected"</formula1>
    </dataValidation>
    <dataValidation sqref="AD4:AD103" showDropDown="0" showInputMessage="1" showErrorMessage="1" allowBlank="1" errorTitle="Invalid" error="Select from dropdown." promptTitle="Mgr Approval" prompt="Manager approval." type="list">
      <formula1>"⏳ Pending,✅ Approved,🔁 Changes Requested,❌ Rejected"</formula1>
    </dataValidation>
    <dataValidation sqref="AF4:AF103" showDropDown="0" showInputMessage="1" showErrorMessage="1" allowBlank="1" errorTitle="Invalid" error="Select from dropdown." promptTitle="Archived" prompt="Mark Yes when done." type="list">
      <formula1>"No,Yes"</formula1>
    </dataValidation>
    <dataValidation sqref="X4:X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Y4:Y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Z4:Z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  <dataValidation sqref="F4:F103" showDropDown="0" showInputMessage="1" showErrorMessage="1" allowBlank="1" errorTitle="Invalid" error="Select from dropdown." promptTitle="Event Type" prompt="Type of event." type="list">
      <formula1>"Webinar,Virtual Event,In-Person Event,Hybrid Event,Workshop,Roundtable,Conference,Podcast,Trade Show,Other"</formula1>
    </dataValidation>
    <dataValidation sqref="G4:G103" showDropDown="0" showInputMessage="1" showErrorMessage="1" allowBlank="1" errorTitle="Invalid" error="Select from dropdown." promptTitle="Format" prompt="Delivery format." type="list">
      <formula1>"Live,Pre-recorded,On-Demand,Hybrid"</formula1>
    </dataValidation>
    <dataValidation sqref="L4:L103" showDropDown="0" showInputMessage="1" showErrorMessage="1" allowBlank="1" errorTitle="Invalid" error="Select from dropdown." promptTitle="Platform" prompt="Event platform." type="list">
      <formula1>"Zoom,Microsoft Teams,Google Meet,Hopin,Airmeet,LinkedIn Live,YouTube Live,Other"</formula1>
    </dataValidation>
    <dataValidation sqref="V4:V103" showDropDown="0" showInputMessage="1" showErrorMessage="1" allowBlank="1" errorTitle="Invalid" error="Select from dropdown." promptTitle="Follow-Up" prompt="Post-event email status." type="list">
      <formula1>"No,Yes – Sent,Scheduled"</formula1>
    </dataValidation>
    <dataValidation sqref="M4:M103" showDropDown="0" showInputMessage="1" showErrorMessage="1" allowBlank="1" errorTitle="Invalid Date" error="Enter a valid date." promptTitle="Enter Date" prompt="Format: DD-MMM-YYYY  e.g. 15-Apr-2025" type="date" operator="greaterThan">
      <formula1>DATE(2024,1,1)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</cols>
  <sheetData>
    <row r="1" ht="36" customHeight="1">
      <c r="A1" s="20" t="inlineStr">
        <is>
          <t>SolidPro — Content &amp; Digital Dashboard  (File 2 of 2)</t>
        </is>
      </c>
    </row>
    <row r="2" ht="16" customHeight="1">
      <c r="A2" s="2" t="inlineStr">
        <is>
          <t>Auto-calculated from all sheets  |  Press Ctrl+Alt+F9 to force refresh</t>
        </is>
      </c>
    </row>
    <row r="4">
      <c r="A4" s="21" t="inlineStr">
        <is>
          <t>Assets by Tracker Sheet</t>
        </is>
      </c>
      <c r="B4" s="22" t="n"/>
      <c r="C4" s="23" t="n"/>
      <c r="D4" s="24" t="inlineStr">
        <is>
          <t>Count</t>
        </is>
      </c>
    </row>
    <row r="5">
      <c r="A5" s="25" t="inlineStr">
        <is>
          <t>🌐 Landing Pages</t>
        </is>
      </c>
      <c r="B5" s="22" t="n"/>
      <c r="C5" s="23" t="n"/>
      <c r="D5" s="26">
        <f>COUNTIFS('🌐 Landing Pages'!$B$4:$B$103,"&lt;&gt;",'🌐 Landing Pages'!$E$4:$E$103,"&lt;&gt;")</f>
        <v/>
      </c>
    </row>
    <row r="6">
      <c r="A6" s="27" t="inlineStr">
        <is>
          <t>✍ Content Writing</t>
        </is>
      </c>
      <c r="B6" s="22" t="n"/>
      <c r="C6" s="23" t="n"/>
      <c r="D6" s="28">
        <f>COUNTIFS('✍ Content Writing'!$B$4:$B$103,"&lt;&gt;",'✍ Content Writing'!$E$4:$E$103,"&lt;&gt;")</f>
        <v/>
      </c>
    </row>
    <row r="7">
      <c r="A7" s="25" t="inlineStr">
        <is>
          <t>🎁 Lead Magnets</t>
        </is>
      </c>
      <c r="B7" s="22" t="n"/>
      <c r="C7" s="23" t="n"/>
      <c r="D7" s="26">
        <f>COUNTIFS('🎁 Lead Magnets'!$B$4:$B$103,"&lt;&gt;",'🎁 Lead Magnets'!$E$4:$E$103,"&lt;&gt;")</f>
        <v/>
      </c>
    </row>
    <row r="8">
      <c r="A8" s="27" t="inlineStr">
        <is>
          <t>📧 Email Sequences</t>
        </is>
      </c>
      <c r="B8" s="22" t="n"/>
      <c r="C8" s="23" t="n"/>
      <c r="D8" s="28">
        <f>COUNTIFS('📧 Email Sequences'!$B$4:$B$103,"&lt;&gt;",'📧 Email Sequences'!$E$4:$E$103,"&lt;&gt;")</f>
        <v/>
      </c>
    </row>
    <row r="9">
      <c r="A9" s="25" t="inlineStr">
        <is>
          <t>🔍 SEO</t>
        </is>
      </c>
      <c r="B9" s="22" t="n"/>
      <c r="C9" s="23" t="n"/>
      <c r="D9" s="26">
        <f>COUNTIFS('🔍 SEO'!$B$4:$B$103,"&lt;&gt;",'🔍 SEO'!$E$4:$E$103,"&lt;&gt;")</f>
        <v/>
      </c>
    </row>
    <row r="10">
      <c r="A10" s="27" t="inlineStr">
        <is>
          <t>🎤 Webinars &amp; Events</t>
        </is>
      </c>
      <c r="B10" s="22" t="n"/>
      <c r="C10" s="23" t="n"/>
      <c r="D10" s="28">
        <f>COUNTIFS('🎤 Webinars &amp; Events'!$B$4:$B$103,"&lt;&gt;",'🎤 Webinars &amp; Events'!$E$4:$E$103,"&lt;&gt;")</f>
        <v/>
      </c>
    </row>
    <row r="12">
      <c r="A12" s="29" t="inlineStr">
        <is>
          <t>Landing Pages by Status</t>
        </is>
      </c>
      <c r="B12" s="22" t="n"/>
      <c r="C12" s="23" t="n"/>
      <c r="D12" s="30" t="inlineStr">
        <is>
          <t>Count</t>
        </is>
      </c>
    </row>
    <row r="13">
      <c r="A13" s="25" t="inlineStr">
        <is>
          <t>📋 Briefed</t>
        </is>
      </c>
      <c r="B13" s="22" t="n"/>
      <c r="C13" s="23" t="n"/>
      <c r="D13" s="26">
        <f>COUNTIF('🌐 Landing Pages'!V4:V103,"*Briefed*")</f>
        <v/>
      </c>
    </row>
    <row r="14">
      <c r="A14" s="27" t="inlineStr">
        <is>
          <t>✍ In Progress</t>
        </is>
      </c>
      <c r="B14" s="22" t="n"/>
      <c r="C14" s="23" t="n"/>
      <c r="D14" s="28">
        <f>COUNTIF('🌐 Landing Pages'!V4:V103,"*Progress*")</f>
        <v/>
      </c>
    </row>
    <row r="15">
      <c r="A15" s="25" t="inlineStr">
        <is>
          <t>✅ Approved</t>
        </is>
      </c>
      <c r="B15" s="22" t="n"/>
      <c r="C15" s="23" t="n"/>
      <c r="D15" s="26">
        <f>COUNTIF('🌐 Landing Pages'!V4:V103,"*Approved*")</f>
        <v/>
      </c>
    </row>
    <row r="16">
      <c r="A16" s="27" t="inlineStr">
        <is>
          <t>🚀 Live</t>
        </is>
      </c>
      <c r="B16" s="22" t="n"/>
      <c r="C16" s="23" t="n"/>
      <c r="D16" s="28">
        <f>COUNTIF('🌐 Landing Pages'!V4:V103,"*Live*")</f>
        <v/>
      </c>
    </row>
    <row r="17">
      <c r="A17" s="25" t="inlineStr">
        <is>
          <t>⏸ On Hold</t>
        </is>
      </c>
      <c r="B17" s="22" t="n"/>
      <c r="C17" s="23" t="n"/>
      <c r="D17" s="26">
        <f>COUNTIF('🌐 Landing Pages'!V4:V103,"*On Hold*")</f>
        <v/>
      </c>
    </row>
    <row r="18">
      <c r="A18" s="27" t="inlineStr">
        <is>
          <t>❌ Cancelled</t>
        </is>
      </c>
      <c r="B18" s="22" t="n"/>
      <c r="C18" s="23" t="n"/>
      <c r="D18" s="28">
        <f>COUNTIF('🌐 Landing Pages'!V4:V103,"*Cancelled*")</f>
        <v/>
      </c>
    </row>
    <row r="20">
      <c r="A20" s="31" t="inlineStr">
        <is>
          <t>Lead Magnets by Type</t>
        </is>
      </c>
      <c r="B20" s="22" t="n"/>
      <c r="C20" s="23" t="n"/>
      <c r="D20" s="32" t="inlineStr">
        <is>
          <t>Count</t>
        </is>
      </c>
    </row>
    <row r="21">
      <c r="A21" s="25" t="inlineStr">
        <is>
          <t>Downloadable PDF</t>
        </is>
      </c>
      <c r="B21" s="22" t="n"/>
      <c r="C21" s="23" t="n"/>
      <c r="D21" s="26">
        <f>COUNTIF('🎁 Lead Magnets'!F4:F103,"*PDF*")</f>
        <v/>
      </c>
    </row>
    <row r="22">
      <c r="A22" s="27" t="inlineStr">
        <is>
          <t>Assessment / Quiz</t>
        </is>
      </c>
      <c r="B22" s="22" t="n"/>
      <c r="C22" s="23" t="n"/>
      <c r="D22" s="28">
        <f>COUNTIF('🎁 Lead Magnets'!F4:F103,"*Assessment*")</f>
        <v/>
      </c>
    </row>
    <row r="23">
      <c r="A23" s="25" t="inlineStr">
        <is>
          <t>Checklist</t>
        </is>
      </c>
      <c r="B23" s="22" t="n"/>
      <c r="C23" s="23" t="n"/>
      <c r="D23" s="26">
        <f>COUNTIF('🎁 Lead Magnets'!F4:F103,"*Checklist*")</f>
        <v/>
      </c>
    </row>
    <row r="24">
      <c r="A24" s="27" t="inlineStr">
        <is>
          <t>Template</t>
        </is>
      </c>
      <c r="B24" s="22" t="n"/>
      <c r="C24" s="23" t="n"/>
      <c r="D24" s="28">
        <f>COUNTIF('🎁 Lead Magnets'!F4:F103,"*Template*")</f>
        <v/>
      </c>
    </row>
    <row r="25">
      <c r="A25" s="25" t="inlineStr">
        <is>
          <t>Calculator</t>
        </is>
      </c>
      <c r="B25" s="22" t="n"/>
      <c r="C25" s="23" t="n"/>
      <c r="D25" s="26">
        <f>COUNTIF('🎁 Lead Magnets'!F4:F103,"*Calculator*")</f>
        <v/>
      </c>
    </row>
    <row r="26">
      <c r="A26" s="27" t="inlineStr">
        <is>
          <t>eBook</t>
        </is>
      </c>
      <c r="B26" s="22" t="n"/>
      <c r="C26" s="23" t="n"/>
      <c r="D26" s="28">
        <f>COUNTIF('🎁 Lead Magnets'!F4:F103,"*eBook*")</f>
        <v/>
      </c>
    </row>
    <row r="27">
      <c r="A27" s="25" t="inlineStr">
        <is>
          <t>Other</t>
        </is>
      </c>
      <c r="B27" s="22" t="n"/>
      <c r="C27" s="23" t="n"/>
      <c r="D27" s="26">
        <f>COUNTIF('🎁 Lead Magnets'!F4:F103,"*Other*")</f>
        <v/>
      </c>
    </row>
    <row r="29">
      <c r="A29" s="33" t="inlineStr">
        <is>
          <t>SEO Tasks by Type</t>
        </is>
      </c>
      <c r="B29" s="22" t="n"/>
      <c r="C29" s="23" t="n"/>
      <c r="D29" s="34" t="inlineStr">
        <is>
          <t>Count</t>
        </is>
      </c>
    </row>
    <row r="30">
      <c r="A30" s="27" t="inlineStr">
        <is>
          <t>Keyword Research</t>
        </is>
      </c>
      <c r="B30" s="22" t="n"/>
      <c r="C30" s="23" t="n"/>
      <c r="D30" s="28">
        <f>COUNTIF('🔍 SEO'!F4:F103,"*Keyword*")</f>
        <v/>
      </c>
    </row>
    <row r="31">
      <c r="A31" s="25" t="inlineStr">
        <is>
          <t>On-Page Optimisation</t>
        </is>
      </c>
      <c r="B31" s="22" t="n"/>
      <c r="C31" s="23" t="n"/>
      <c r="D31" s="26">
        <f>COUNTIF('🔍 SEO'!F4:F103,"*On-Page*")</f>
        <v/>
      </c>
    </row>
    <row r="32">
      <c r="A32" s="27" t="inlineStr">
        <is>
          <t>Technical SEO</t>
        </is>
      </c>
      <c r="B32" s="22" t="n"/>
      <c r="C32" s="23" t="n"/>
      <c r="D32" s="28">
        <f>COUNTIF('🔍 SEO'!F4:F103,"*Technical*")</f>
        <v/>
      </c>
    </row>
    <row r="33">
      <c r="A33" s="25" t="inlineStr">
        <is>
          <t>Content Optimisation</t>
        </is>
      </c>
      <c r="B33" s="22" t="n"/>
      <c r="C33" s="23" t="n"/>
      <c r="D33" s="26">
        <f>COUNTIF('🔍 SEO'!F4:F103,"*Content Opt*")</f>
        <v/>
      </c>
    </row>
    <row r="34">
      <c r="A34" s="27" t="inlineStr">
        <is>
          <t>Link Building</t>
        </is>
      </c>
      <c r="B34" s="22" t="n"/>
      <c r="C34" s="23" t="n"/>
      <c r="D34" s="28">
        <f>COUNTIF('🔍 SEO'!F4:F103,"*Link*")</f>
        <v/>
      </c>
    </row>
    <row r="35">
      <c r="A35" s="25" t="inlineStr">
        <is>
          <t>Site Audit</t>
        </is>
      </c>
      <c r="B35" s="22" t="n"/>
      <c r="C35" s="23" t="n"/>
      <c r="D35" s="26">
        <f>COUNTIF('🔍 SEO'!F4:F103,"*Audit*")</f>
        <v/>
      </c>
    </row>
    <row r="37">
      <c r="A37" s="35" t="inlineStr">
        <is>
          <t>Events by Type</t>
        </is>
      </c>
      <c r="B37" s="22" t="n"/>
      <c r="C37" s="23" t="n"/>
      <c r="D37" s="36" t="inlineStr">
        <is>
          <t>Count</t>
        </is>
      </c>
    </row>
    <row r="38">
      <c r="A38" s="27" t="inlineStr">
        <is>
          <t>Webinar</t>
        </is>
      </c>
      <c r="B38" s="22" t="n"/>
      <c r="C38" s="23" t="n"/>
      <c r="D38" s="28">
        <f>COUNTIF('🎤 Webinars &amp; Events'!F4:F103,"*Webinar*")</f>
        <v/>
      </c>
    </row>
    <row r="39">
      <c r="A39" s="25" t="inlineStr">
        <is>
          <t>Workshop</t>
        </is>
      </c>
      <c r="B39" s="22" t="n"/>
      <c r="C39" s="23" t="n"/>
      <c r="D39" s="26">
        <f>COUNTIF('🎤 Webinars &amp; Events'!F4:F103,"*Workshop*")</f>
        <v/>
      </c>
    </row>
    <row r="40">
      <c r="A40" s="27" t="inlineStr">
        <is>
          <t>In-Person Event</t>
        </is>
      </c>
      <c r="B40" s="22" t="n"/>
      <c r="C40" s="23" t="n"/>
      <c r="D40" s="28">
        <f>COUNTIF('🎤 Webinars &amp; Events'!F4:F103,"*In-Person*")</f>
        <v/>
      </c>
    </row>
    <row r="41">
      <c r="A41" s="25" t="inlineStr">
        <is>
          <t>Virtual Event</t>
        </is>
      </c>
      <c r="B41" s="22" t="n"/>
      <c r="C41" s="23" t="n"/>
      <c r="D41" s="26">
        <f>COUNTIF('🎤 Webinars &amp; Events'!F4:F103,"*Virtual*")</f>
        <v/>
      </c>
    </row>
    <row r="42">
      <c r="A42" s="27" t="inlineStr">
        <is>
          <t>Roundtable</t>
        </is>
      </c>
      <c r="B42" s="22" t="n"/>
      <c r="C42" s="23" t="n"/>
      <c r="D42" s="28">
        <f>COUNTIF('🎤 Webinars &amp; Events'!F4:F103,"*Roundtable*")</f>
        <v/>
      </c>
    </row>
  </sheetData>
  <mergeCells count="37">
    <mergeCell ref="A25:C25"/>
    <mergeCell ref="A41:C41"/>
    <mergeCell ref="A37:C37"/>
    <mergeCell ref="A18:C18"/>
    <mergeCell ref="A27:C27"/>
    <mergeCell ref="A21:C21"/>
    <mergeCell ref="A1:H1"/>
    <mergeCell ref="A12:C12"/>
    <mergeCell ref="A26:C26"/>
    <mergeCell ref="A42:C42"/>
    <mergeCell ref="A33:C33"/>
    <mergeCell ref="A5:C5"/>
    <mergeCell ref="A23:C23"/>
    <mergeCell ref="A32:C32"/>
    <mergeCell ref="A8:C8"/>
    <mergeCell ref="A14:C14"/>
    <mergeCell ref="A22:C22"/>
    <mergeCell ref="A17:C17"/>
    <mergeCell ref="A29:C29"/>
    <mergeCell ref="A4:C4"/>
    <mergeCell ref="A35:C35"/>
    <mergeCell ref="A20:C20"/>
    <mergeCell ref="A38:C38"/>
    <mergeCell ref="A10:C10"/>
    <mergeCell ref="A13:C13"/>
    <mergeCell ref="A2:H2"/>
    <mergeCell ref="A31:C31"/>
    <mergeCell ref="A40:C40"/>
    <mergeCell ref="A9:C9"/>
    <mergeCell ref="A30:C30"/>
    <mergeCell ref="A39:C39"/>
    <mergeCell ref="A34:C34"/>
    <mergeCell ref="A15:C15"/>
    <mergeCell ref="A24:C24"/>
    <mergeCell ref="A6:C6"/>
    <mergeCell ref="A7:C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2026-04-20T15:56:40Z</dcterms:created>
  <dcterms:modified xmlns:dcterms="http://purl.org/dc/terms/" xmlns:xsi="http://www.w3.org/2001/XMLSchema-instance" xsi:type="dcterms:W3CDTF">2026-04-20T15:56:43Z</dcterms:modified>
</cp:coreProperties>
</file>