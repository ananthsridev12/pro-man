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Naming Convention" sheetId="1" state="visible" r:id="rId1"/>
    <sheet xmlns:r="http://schemas.openxmlformats.org/officeDocument/2006/relationships" name="🗂 Campaign Master" sheetId="2" state="visible" r:id="rId2"/>
    <sheet xmlns:r="http://schemas.openxmlformats.org/officeDocument/2006/relationships" name="🎨 Creatives" sheetId="3" state="visible" r:id="rId3"/>
    <sheet xmlns:r="http://schemas.openxmlformats.org/officeDocument/2006/relationships" name="📣 Ad Copy" sheetId="4" state="visible" r:id="rId4"/>
    <sheet xmlns:r="http://schemas.openxmlformats.org/officeDocument/2006/relationships" name="📊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b val="1"/>
      <color rgb="000D1B2A"/>
      <sz val="10"/>
    </font>
    <font>
      <name val="Arial"/>
      <color rgb="001A5276"/>
      <sz val="9"/>
    </font>
    <font>
      <name val="Arial"/>
      <i val="1"/>
      <color rgb="007F8C8D"/>
      <sz val="8"/>
    </font>
    <font>
      <name val="Arial"/>
      <b val="1"/>
      <color rgb="00FFFFFF"/>
      <sz val="8"/>
    </font>
    <font>
      <name val="Arial"/>
      <sz val="9"/>
    </font>
    <font>
      <name val="Arial"/>
      <b val="1"/>
      <color rgb="000B3D2E"/>
      <sz val="8"/>
    </font>
    <font>
      <name val="Arial"/>
      <b val="1"/>
      <color rgb="001B4F72"/>
      <sz val="9"/>
    </font>
    <font>
      <name val="Arial"/>
      <b val="1"/>
      <color rgb="001B4F72"/>
      <sz val="8"/>
    </font>
    <font>
      <name val="Arial"/>
      <b val="1"/>
      <color rgb="00E65100"/>
      <sz val="8"/>
    </font>
    <font>
      <name val="Arial"/>
      <b val="1"/>
      <color rgb="00FFFFFF"/>
      <sz val="10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1A2E"/>
      </patternFill>
    </fill>
    <fill>
      <patternFill patternType="solid">
        <fgColor rgb="001B4F72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F2F4F7"/>
      </patternFill>
    </fill>
    <fill>
      <patternFill patternType="solid">
        <fgColor rgb="000B3D2E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E651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vertical="center" wrapText="1"/>
    </xf>
    <xf numFmtId="0" fontId="10" fillId="1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/>
    </xf>
    <xf numFmtId="0" fontId="8" fillId="10" borderId="1" pivotButton="0" quotePrefix="0" xfId="0"/>
    <xf numFmtId="0" fontId="14" fillId="10" borderId="1" applyAlignment="1" pivotButton="0" quotePrefix="0" xfId="0">
      <alignment horizontal="center"/>
    </xf>
    <xf numFmtId="0" fontId="8" fillId="9" borderId="1" pivotButton="0" quotePrefix="0" xfId="0"/>
    <xf numFmtId="0" fontId="14" fillId="9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b val="1"/>
        <color rgb="001E8449"/>
        <sz val="9"/>
      </font>
      <fill>
        <patternFill patternType="solid">
          <fgColor rgb="00D5F5E3"/>
          <bgColor rgb="00D5F5E3"/>
        </patternFill>
      </fill>
    </dxf>
    <dxf>
      <font>
        <name val="Arial"/>
        <b val="1"/>
        <color rgb="00C0392B"/>
        <sz val="9"/>
      </font>
      <fill>
        <patternFill patternType="solid">
          <fgColor rgb="00FADBD8"/>
          <bgColor rgb="00FADBD8"/>
        </patternFill>
      </fill>
    </dxf>
    <dxf>
      <font>
        <name val="Arial"/>
        <b val="1"/>
        <color rgb="00A04000"/>
        <sz val="9"/>
      </font>
      <fill>
        <patternFill patternType="solid">
          <fgColor rgb="00FDEBD0"/>
          <bgColor rgb="00FDEBD0"/>
        </patternFill>
      </fill>
    </dxf>
    <dxf>
      <font>
        <name val="Arial"/>
        <b val="1"/>
        <color rgb="001A5276"/>
        <sz val="9"/>
      </font>
      <fill>
        <patternFill patternType="solid">
          <fgColor rgb="00EBF5FB"/>
          <bgColor rgb="00EBF5FB"/>
        </patternFill>
      </fill>
    </dxf>
    <dxf>
      <font>
        <name val="Arial"/>
        <b val="1"/>
        <color rgb="007D6608"/>
        <sz val="9"/>
      </font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6" customHeight="1">
      <c r="A1" s="1" t="inlineStr">
        <is>
          <t>SolidPro — Campaign Naming Convention Guide</t>
        </is>
      </c>
    </row>
    <row r="2" ht="16" customHeight="1">
      <c r="A2" s="2" t="inlineStr">
        <is>
          <t>Follow this structure for every campaign, asset, and file name across both tracker files</t>
        </is>
      </c>
    </row>
    <row r="3" ht="8" customHeight="1"/>
    <row r="4" ht="20" customHeight="1">
      <c r="A4" s="3" t="inlineStr">
        <is>
          <t>CAMPAIGN ID FORMAT</t>
        </is>
      </c>
    </row>
    <row r="5" ht="26" customHeight="1">
      <c r="A5" s="4" t="inlineStr">
        <is>
          <t>VERTICAL-GOAL-DESCRIPTOR-MON-YY</t>
        </is>
      </c>
    </row>
    <row r="6" ht="48" customHeight="1">
      <c r="A6" s="5" t="inlineStr">
        <is>
          <t>Examples:
DT-LG-PLM-LAUNCH-APR25
IG-BD-VALVE-WHITEPAPER-JUN25
SE-TL-BRIDGE-CASESTUDY-Q3-25</t>
        </is>
      </c>
    </row>
    <row r="7" ht="24" customHeight="1">
      <c r="A7" s="6" t="inlineStr">
        <is>
          <t>Note: Vertical Code + Goal Code + Short Descriptor (2–3 words max) + Month + 2-digit Year</t>
        </is>
      </c>
    </row>
    <row r="12" ht="20" customHeight="1">
      <c r="A12" s="3" t="inlineStr">
        <is>
          <t>ASSET ID FORMAT  (auto-generated in trackers)</t>
        </is>
      </c>
    </row>
    <row r="13" ht="26" customHeight="1">
      <c r="A13" s="4" t="inlineStr">
        <is>
          <t>CAMPID-ASSETTYPE-SEQ</t>
        </is>
      </c>
    </row>
    <row r="14" ht="48" customHeight="1">
      <c r="A14" s="5" t="inlineStr">
        <is>
          <t>Examples:
DT-LG-PLM-LAUNCH-APR25-GD-001  (Graphic Design #1)
DT-LG-PLM-LAUNCH-APR25-VD-001  (Video #1)
DT-LG-PLM-LAUNCH-APR25-LP-001  (Landing Page #1)</t>
        </is>
      </c>
    </row>
    <row r="15" ht="24" customHeight="1">
      <c r="A15" s="6" t="inlineStr">
        <is>
          <t>Note: Campaign ID + Asset Type Code + 3-digit sequence number</t>
        </is>
      </c>
    </row>
    <row r="20" ht="20" customHeight="1">
      <c r="A20" s="3" t="inlineStr">
        <is>
          <t>VERTICAL CODES</t>
        </is>
      </c>
    </row>
    <row r="21" ht="26" customHeight="1">
      <c r="A21" s="4" t="inlineStr">
        <is>
          <t>DT = Digital Transformation  |  IG = Industrial Goods  |  SE = Structural Engineering</t>
        </is>
      </c>
    </row>
    <row r="22" ht="48" customHeight="1">
      <c r="A22" s="5" t="inlineStr">
        <is>
          <t>Examples:
MT = MedTech  |  EU = Energy &amp; Utilities  |  SUS = Sustainability
BFSI = BFSI  |  PI = Product Innovation  |  AI = SolidPro AI  |  XX = Other</t>
        </is>
      </c>
    </row>
    <row r="28" ht="20" customHeight="1">
      <c r="A28" s="3" t="inlineStr">
        <is>
          <t>GOAL CODES</t>
        </is>
      </c>
    </row>
    <row r="29" ht="26" customHeight="1">
      <c r="A29" s="4" t="inlineStr">
        <is>
          <t>LG = Lead Generation  |  BD = Brand / Demand  |  TL = Thought Leadership</t>
        </is>
      </c>
    </row>
    <row r="30" ht="48" customHeight="1">
      <c r="A30" s="5" t="inlineStr">
        <is>
          <t>Examples:
EV = Event / Webinar  |  NR = Nurture / Retention  |  PL = Product Launch
AB = ABM Campaign  |  RE = Re-engagement</t>
        </is>
      </c>
    </row>
    <row r="36" ht="20" customHeight="1">
      <c r="A36" s="3" t="inlineStr">
        <is>
          <t>ASSET TYPE CODES</t>
        </is>
      </c>
    </row>
    <row r="37" ht="26" customHeight="1">
      <c r="A37" s="4" t="inlineStr">
        <is>
          <t>GD = Graphic Design  |  VD = Video  |  MG = Motion Graphic</t>
        </is>
      </c>
    </row>
    <row r="38" ht="48" customHeight="1">
      <c r="A38" s="5" t="inlineStr">
        <is>
          <t>Examples:
LP = Landing Page  |  CW = Content Writing  |  LM = Lead Magnet
EM = Email  |  AD = Ad Copy  |  SEO = SEO Task  |  EV = Event / Webinar</t>
        </is>
      </c>
    </row>
    <row r="44" ht="20" customHeight="1">
      <c r="A44" s="3" t="inlineStr">
        <is>
          <t>NAMING RULES</t>
        </is>
      </c>
    </row>
    <row r="45" ht="26" customHeight="1">
      <c r="A45" s="4" t="inlineStr">
        <is>
          <t>1. Always use UPPERCASE for codes. 2. Use hyphens (-) only, no spaces or underscores.</t>
        </is>
      </c>
    </row>
    <row r="46" ht="48" customHeight="1">
      <c r="A46" s="5" t="inlineStr">
        <is>
          <t>Examples:
3. Descriptor must be 2–3 words max, no generic names like 'campaign1'.
4. Month is always 3-letter abbreviation: JAN FEB MAR APR MAY JUN JUL AUG SEP OCT NOV DEC
5. Year is always 2-digit: 25 for 2025.</t>
        </is>
      </c>
    </row>
  </sheetData>
  <mergeCells count="22">
    <mergeCell ref="A46:F46"/>
    <mergeCell ref="A37:F37"/>
    <mergeCell ref="A12:F12"/>
    <mergeCell ref="A21:F21"/>
    <mergeCell ref="A2:F2"/>
    <mergeCell ref="A14:F14"/>
    <mergeCell ref="A5:F5"/>
    <mergeCell ref="A22:F22"/>
    <mergeCell ref="A4:F4"/>
    <mergeCell ref="A20:F20"/>
    <mergeCell ref="A29:F29"/>
    <mergeCell ref="A38:F38"/>
    <mergeCell ref="A28:F28"/>
    <mergeCell ref="A13:F13"/>
    <mergeCell ref="A44:F44"/>
    <mergeCell ref="A30:F30"/>
    <mergeCell ref="A15:F15"/>
    <mergeCell ref="A36:F36"/>
    <mergeCell ref="A1:F1"/>
    <mergeCell ref="A45:F4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26" customWidth="1" min="4" max="4"/>
    <col width="14" customWidth="1" min="5" max="5"/>
    <col width="22" customWidth="1" min="6" max="6"/>
    <col width="24" customWidth="1" min="7" max="7"/>
    <col width="26" customWidth="1" min="8" max="8"/>
    <col width="18" customWidth="1" min="9" max="9"/>
    <col width="15" customWidth="1" min="10" max="10"/>
    <col width="15" customWidth="1" min="11" max="11"/>
    <col width="15" customWidth="1" min="12" max="12"/>
    <col width="13" customWidth="1" min="13" max="13"/>
    <col width="22" customWidth="1" min="14" max="14"/>
    <col width="22" customWidth="1" min="15" max="15"/>
    <col width="26" customWidth="1" min="16" max="16"/>
    <col width="22" customWidth="1" min="17" max="17"/>
    <col width="16" customWidth="1" min="18" max="18"/>
    <col width="38" customWidth="1" min="19" max="19"/>
  </cols>
  <sheetData>
    <row r="1" ht="36" customHeight="1">
      <c r="A1" s="7" t="inlineStr">
        <is>
          <t>SolidPro — Campaign Master  |  FILE 1 of 2</t>
        </is>
      </c>
    </row>
    <row r="2" ht="16" customHeight="1">
      <c r="A2" s="2" t="inlineStr">
        <is>
          <t>NAME FORMAT: VERTICAL-GOAL-DESCRIPTOR-MON-YY   e.g. DT-LG-PLM-LAUNCH-APR25  |  * = Mandatory  |  Creatives count is auto-calculated</t>
        </is>
      </c>
    </row>
    <row r="3" ht="32" customHeight="1">
      <c r="A3" s="8" t="inlineStr">
        <is>
          <t>S.No</t>
        </is>
      </c>
      <c r="B3" s="8" t="inlineStr">
        <is>
          <t>Campaign ID *</t>
        </is>
      </c>
      <c r="C3" s="8" t="inlineStr">
        <is>
          <t>Campaign Name *</t>
        </is>
      </c>
      <c r="D3" s="8" t="inlineStr">
        <is>
          <t>Vertical *</t>
        </is>
      </c>
      <c r="E3" s="8" t="inlineStr">
        <is>
          <t>Goal Code</t>
        </is>
      </c>
      <c r="F3" s="8" t="inlineStr">
        <is>
          <t>Campaign Type</t>
        </is>
      </c>
      <c r="G3" s="8" t="inlineStr">
        <is>
          <t>Campaign Goal</t>
        </is>
      </c>
      <c r="H3" s="8" t="inlineStr">
        <is>
          <t>Target Audience</t>
        </is>
      </c>
      <c r="I3" s="8" t="inlineStr">
        <is>
          <t>Geography</t>
        </is>
      </c>
      <c r="J3" s="8" t="inlineStr">
        <is>
          <t>Campaign Start *</t>
        </is>
      </c>
      <c r="K3" s="8" t="inlineStr">
        <is>
          <t>Campaign End *</t>
        </is>
      </c>
      <c r="L3" s="8" t="inlineStr">
        <is>
          <t>Go-Live Date *</t>
        </is>
      </c>
      <c r="M3" s="8" t="inlineStr">
        <is>
          <t>Priority</t>
        </is>
      </c>
      <c r="N3" s="8" t="inlineStr">
        <is>
          <t>Campaign Owner *</t>
        </is>
      </c>
      <c r="O3" s="8" t="inlineStr">
        <is>
          <t>Campaign Status</t>
        </is>
      </c>
      <c r="P3" s="8" t="inlineStr">
        <is>
          <t>Approved by Project Head</t>
        </is>
      </c>
      <c r="Q3" s="8" t="inlineStr">
        <is>
          <t>Approved by Manager</t>
        </is>
      </c>
      <c r="R3" s="8" t="inlineStr">
        <is>
          <t>Creatives Count</t>
        </is>
      </c>
      <c r="S3" s="8" t="inlineStr">
        <is>
          <t>Notes / Brief</t>
        </is>
      </c>
    </row>
    <row r="4" ht="22" customHeight="1">
      <c r="A4" s="9" t="n">
        <v>1</v>
      </c>
      <c r="B4" s="10">
        <f>IF(C4="","",IF(E4="",UPPER(SUBSTITUTE(LEFT(TRIM(C4),20)," ","-"))&amp;"-"&amp;TEXT(MONTH(TODAY()),"MMM")&amp;RIGHT(YEAR(TODAY()),2),UPPER(E4)&amp;"-"&amp;UPPER(SUBSTITUTE(LEFT(TRIM(C4),15)," ","-"))&amp;"-"&amp;TEXT(MONTH(TODAY()),"MMM")&amp;RIGHT(YEAR(TODAY()),2)))</f>
        <v/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2">
        <f>COUNTIFS('🎨 Creatives'!$B$4:$B$103,B4,'🎨 Creatives'!$E$4:$E$103,"&lt;&gt;")</f>
        <v/>
      </c>
      <c r="S4" s="11" t="n"/>
    </row>
    <row r="5" ht="22" customHeight="1">
      <c r="A5" s="13" t="n">
        <v>2</v>
      </c>
      <c r="B5" s="14">
        <f>IF(C5="","",IF(E5="",UPPER(SUBSTITUTE(LEFT(TRIM(C5),20)," ","-"))&amp;"-"&amp;TEXT(MONTH(TODAY()),"MMM")&amp;RIGHT(YEAR(TODAY()),2),UPPER(E5)&amp;"-"&amp;UPPER(SUBSTITUTE(LEFT(TRIM(C5),15)," ","-"))&amp;"-"&amp;TEXT(MONTH(TODAY()),"MMM")&amp;RIGHT(YEAR(TODAY()),2)))</f>
        <v/>
      </c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>
        <f>COUNTIFS('🎨 Creatives'!$B$4:$B$103,B5,'🎨 Creatives'!$E$4:$E$103,"&lt;&gt;")</f>
        <v/>
      </c>
      <c r="S5" s="15" t="n"/>
    </row>
    <row r="6" ht="22" customHeight="1">
      <c r="A6" s="9" t="n">
        <v>3</v>
      </c>
      <c r="B6" s="10">
        <f>IF(C6="","",IF(E6="",UPPER(SUBSTITUTE(LEFT(TRIM(C6),20)," ","-"))&amp;"-"&amp;TEXT(MONTH(TODAY()),"MMM")&amp;RIGHT(YEAR(TODAY()),2),UPPER(E6)&amp;"-"&amp;UPPER(SUBSTITUTE(LEFT(TRIM(C6),15)," ","-"))&amp;"-"&amp;TEXT(MONTH(TODAY()),"MMM")&amp;RIGHT(YEAR(TODAY()),2)))</f>
        <v/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2">
        <f>COUNTIFS('🎨 Creatives'!$B$4:$B$103,B6,'🎨 Creatives'!$E$4:$E$103,"&lt;&gt;")</f>
        <v/>
      </c>
      <c r="S6" s="11" t="n"/>
    </row>
    <row r="7" ht="22" customHeight="1">
      <c r="A7" s="13" t="n">
        <v>4</v>
      </c>
      <c r="B7" s="14">
        <f>IF(C7="","",IF(E7="",UPPER(SUBSTITUTE(LEFT(TRIM(C7),20)," ","-"))&amp;"-"&amp;TEXT(MONTH(TODAY()),"MMM")&amp;RIGHT(YEAR(TODAY()),2),UPPER(E7)&amp;"-"&amp;UPPER(SUBSTITUTE(LEFT(TRIM(C7),15)," ","-"))&amp;"-"&amp;TEXT(MONTH(TODAY()),"MMM")&amp;RIGHT(YEAR(TODAY()),2)))</f>
        <v/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6">
        <f>COUNTIFS('🎨 Creatives'!$B$4:$B$103,B7,'🎨 Creatives'!$E$4:$E$103,"&lt;&gt;")</f>
        <v/>
      </c>
      <c r="S7" s="15" t="n"/>
    </row>
    <row r="8" ht="22" customHeight="1">
      <c r="A8" s="9" t="n">
        <v>5</v>
      </c>
      <c r="B8" s="10">
        <f>IF(C8="","",IF(E8="",UPPER(SUBSTITUTE(LEFT(TRIM(C8),20)," ","-"))&amp;"-"&amp;TEXT(MONTH(TODAY()),"MMM")&amp;RIGHT(YEAR(TODAY()),2),UPPER(E8)&amp;"-"&amp;UPPER(SUBSTITUTE(LEFT(TRIM(C8),15)," ","-"))&amp;"-"&amp;TEXT(MONTH(TODAY()),"MMM")&amp;RIGHT(YEAR(TODAY()),2)))</f>
        <v/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2">
        <f>COUNTIFS('🎨 Creatives'!$B$4:$B$103,B8,'🎨 Creatives'!$E$4:$E$103,"&lt;&gt;")</f>
        <v/>
      </c>
      <c r="S8" s="11" t="n"/>
    </row>
    <row r="9" ht="22" customHeight="1">
      <c r="A9" s="13" t="n">
        <v>6</v>
      </c>
      <c r="B9" s="14">
        <f>IF(C9="","",IF(E9="",UPPER(SUBSTITUTE(LEFT(TRIM(C9),20)," ","-"))&amp;"-"&amp;TEXT(MONTH(TODAY()),"MMM")&amp;RIGHT(YEAR(TODAY()),2),UPPER(E9)&amp;"-"&amp;UPPER(SUBSTITUTE(LEFT(TRIM(C9),15)," ","-"))&amp;"-"&amp;TEXT(MONTH(TODAY()),"MMM")&amp;RIGHT(YEAR(TODAY()),2)))</f>
        <v/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6">
        <f>COUNTIFS('🎨 Creatives'!$B$4:$B$103,B9,'🎨 Creatives'!$E$4:$E$103,"&lt;&gt;")</f>
        <v/>
      </c>
      <c r="S9" s="15" t="n"/>
    </row>
    <row r="10" ht="22" customHeight="1">
      <c r="A10" s="9" t="n">
        <v>7</v>
      </c>
      <c r="B10" s="10">
        <f>IF(C10="","",IF(E10="",UPPER(SUBSTITUTE(LEFT(TRIM(C10),20)," ","-"))&amp;"-"&amp;TEXT(MONTH(TODAY()),"MMM")&amp;RIGHT(YEAR(TODAY()),2),UPPER(E10)&amp;"-"&amp;UPPER(SUBSTITUTE(LEFT(TRIM(C10),15)," ","-"))&amp;"-"&amp;TEXT(MONTH(TODAY()),"MMM")&amp;RIGHT(YEAR(TODAY()),2)))</f>
        <v/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2">
        <f>COUNTIFS('🎨 Creatives'!$B$4:$B$103,B10,'🎨 Creatives'!$E$4:$E$103,"&lt;&gt;")</f>
        <v/>
      </c>
      <c r="S10" s="11" t="n"/>
    </row>
    <row r="11" ht="22" customHeight="1">
      <c r="A11" s="13" t="n">
        <v>8</v>
      </c>
      <c r="B11" s="14">
        <f>IF(C11="","",IF(E11="",UPPER(SUBSTITUTE(LEFT(TRIM(C11),20)," ","-"))&amp;"-"&amp;TEXT(MONTH(TODAY()),"MMM")&amp;RIGHT(YEAR(TODAY()),2),UPPER(E11)&amp;"-"&amp;UPPER(SUBSTITUTE(LEFT(TRIM(C11),15)," ","-"))&amp;"-"&amp;TEXT(MONTH(TODAY()),"MMM")&amp;RIGHT(YEAR(TODAY()),2)))</f>
        <v/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6">
        <f>COUNTIFS('🎨 Creatives'!$B$4:$B$103,B11,'🎨 Creatives'!$E$4:$E$103,"&lt;&gt;")</f>
        <v/>
      </c>
      <c r="S11" s="15" t="n"/>
    </row>
    <row r="12" ht="22" customHeight="1">
      <c r="A12" s="9" t="n">
        <v>9</v>
      </c>
      <c r="B12" s="10">
        <f>IF(C12="","",IF(E12="",UPPER(SUBSTITUTE(LEFT(TRIM(C12),20)," ","-"))&amp;"-"&amp;TEXT(MONTH(TODAY()),"MMM")&amp;RIGHT(YEAR(TODAY()),2),UPPER(E12)&amp;"-"&amp;UPPER(SUBSTITUTE(LEFT(TRIM(C12),15)," ","-"))&amp;"-"&amp;TEXT(MONTH(TODAY()),"MMM")&amp;RIGHT(YEAR(TODAY()),2)))</f>
        <v/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2">
        <f>COUNTIFS('🎨 Creatives'!$B$4:$B$103,B12,'🎨 Creatives'!$E$4:$E$103,"&lt;&gt;")</f>
        <v/>
      </c>
      <c r="S12" s="11" t="n"/>
    </row>
    <row r="13" ht="22" customHeight="1">
      <c r="A13" s="13" t="n">
        <v>10</v>
      </c>
      <c r="B13" s="14">
        <f>IF(C13="","",IF(E13="",UPPER(SUBSTITUTE(LEFT(TRIM(C13),20)," ","-"))&amp;"-"&amp;TEXT(MONTH(TODAY()),"MMM")&amp;RIGHT(YEAR(TODAY()),2),UPPER(E13)&amp;"-"&amp;UPPER(SUBSTITUTE(LEFT(TRIM(C13),15)," ","-"))&amp;"-"&amp;TEXT(MONTH(TODAY()),"MMM")&amp;RIGHT(YEAR(TODAY()),2)))</f>
        <v/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6">
        <f>COUNTIFS('🎨 Creatives'!$B$4:$B$103,B13,'🎨 Creatives'!$E$4:$E$103,"&lt;&gt;")</f>
        <v/>
      </c>
      <c r="S13" s="15" t="n"/>
    </row>
    <row r="14" ht="22" customHeight="1">
      <c r="A14" s="9" t="n">
        <v>11</v>
      </c>
      <c r="B14" s="10">
        <f>IF(C14="","",IF(E14="",UPPER(SUBSTITUTE(LEFT(TRIM(C14),20)," ","-"))&amp;"-"&amp;TEXT(MONTH(TODAY()),"MMM")&amp;RIGHT(YEAR(TODAY()),2),UPPER(E14)&amp;"-"&amp;UPPER(SUBSTITUTE(LEFT(TRIM(C14),15)," ","-"))&amp;"-"&amp;TEXT(MONTH(TODAY()),"MMM")&amp;RIGHT(YEAR(TODAY()),2)))</f>
        <v/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2">
        <f>COUNTIFS('🎨 Creatives'!$B$4:$B$103,B14,'🎨 Creatives'!$E$4:$E$103,"&lt;&gt;")</f>
        <v/>
      </c>
      <c r="S14" s="11" t="n"/>
    </row>
    <row r="15" ht="22" customHeight="1">
      <c r="A15" s="13" t="n">
        <v>12</v>
      </c>
      <c r="B15" s="14">
        <f>IF(C15="","",IF(E15="",UPPER(SUBSTITUTE(LEFT(TRIM(C15),20)," ","-"))&amp;"-"&amp;TEXT(MONTH(TODAY()),"MMM")&amp;RIGHT(YEAR(TODAY()),2),UPPER(E15)&amp;"-"&amp;UPPER(SUBSTITUTE(LEFT(TRIM(C15),15)," ","-"))&amp;"-"&amp;TEXT(MONTH(TODAY()),"MMM")&amp;RIGHT(YEAR(TODAY()),2)))</f>
        <v/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6">
        <f>COUNTIFS('🎨 Creatives'!$B$4:$B$103,B15,'🎨 Creatives'!$E$4:$E$103,"&lt;&gt;")</f>
        <v/>
      </c>
      <c r="S15" s="15" t="n"/>
    </row>
    <row r="16" ht="22" customHeight="1">
      <c r="A16" s="9" t="n">
        <v>13</v>
      </c>
      <c r="B16" s="10">
        <f>IF(C16="","",IF(E16="",UPPER(SUBSTITUTE(LEFT(TRIM(C16),20)," ","-"))&amp;"-"&amp;TEXT(MONTH(TODAY()),"MMM")&amp;RIGHT(YEAR(TODAY()),2),UPPER(E16)&amp;"-"&amp;UPPER(SUBSTITUTE(LEFT(TRIM(C16),15)," ","-"))&amp;"-"&amp;TEXT(MONTH(TODAY()),"MMM")&amp;RIGHT(YEAR(TODAY()),2)))</f>
        <v/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2">
        <f>COUNTIFS('🎨 Creatives'!$B$4:$B$103,B16,'🎨 Creatives'!$E$4:$E$103,"&lt;&gt;")</f>
        <v/>
      </c>
      <c r="S16" s="11" t="n"/>
    </row>
    <row r="17" ht="22" customHeight="1">
      <c r="A17" s="13" t="n">
        <v>14</v>
      </c>
      <c r="B17" s="14">
        <f>IF(C17="","",IF(E17="",UPPER(SUBSTITUTE(LEFT(TRIM(C17),20)," ","-"))&amp;"-"&amp;TEXT(MONTH(TODAY()),"MMM")&amp;RIGHT(YEAR(TODAY()),2),UPPER(E17)&amp;"-"&amp;UPPER(SUBSTITUTE(LEFT(TRIM(C17),15)," ","-"))&amp;"-"&amp;TEXT(MONTH(TODAY()),"MMM")&amp;RIGHT(YEAR(TODAY()),2)))</f>
        <v/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6">
        <f>COUNTIFS('🎨 Creatives'!$B$4:$B$103,B17,'🎨 Creatives'!$E$4:$E$103,"&lt;&gt;")</f>
        <v/>
      </c>
      <c r="S17" s="15" t="n"/>
    </row>
    <row r="18" ht="22" customHeight="1">
      <c r="A18" s="9" t="n">
        <v>15</v>
      </c>
      <c r="B18" s="10">
        <f>IF(C18="","",IF(E18="",UPPER(SUBSTITUTE(LEFT(TRIM(C18),20)," ","-"))&amp;"-"&amp;TEXT(MONTH(TODAY()),"MMM")&amp;RIGHT(YEAR(TODAY()),2),UPPER(E18)&amp;"-"&amp;UPPER(SUBSTITUTE(LEFT(TRIM(C18),15)," ","-"))&amp;"-"&amp;TEXT(MONTH(TODAY()),"MMM")&amp;RIGHT(YEAR(TODAY()),2)))</f>
        <v/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2">
        <f>COUNTIFS('🎨 Creatives'!$B$4:$B$103,B18,'🎨 Creatives'!$E$4:$E$103,"&lt;&gt;")</f>
        <v/>
      </c>
      <c r="S18" s="11" t="n"/>
    </row>
    <row r="19" ht="22" customHeight="1">
      <c r="A19" s="13" t="n">
        <v>16</v>
      </c>
      <c r="B19" s="14">
        <f>IF(C19="","",IF(E19="",UPPER(SUBSTITUTE(LEFT(TRIM(C19),20)," ","-"))&amp;"-"&amp;TEXT(MONTH(TODAY()),"MMM")&amp;RIGHT(YEAR(TODAY()),2),UPPER(E19)&amp;"-"&amp;UPPER(SUBSTITUTE(LEFT(TRIM(C19),15)," ","-"))&amp;"-"&amp;TEXT(MONTH(TODAY()),"MMM")&amp;RIGHT(YEAR(TODAY()),2)))</f>
        <v/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6">
        <f>COUNTIFS('🎨 Creatives'!$B$4:$B$103,B19,'🎨 Creatives'!$E$4:$E$103,"&lt;&gt;")</f>
        <v/>
      </c>
      <c r="S19" s="15" t="n"/>
    </row>
    <row r="20" ht="22" customHeight="1">
      <c r="A20" s="9" t="n">
        <v>17</v>
      </c>
      <c r="B20" s="10">
        <f>IF(C20="","",IF(E20="",UPPER(SUBSTITUTE(LEFT(TRIM(C20),20)," ","-"))&amp;"-"&amp;TEXT(MONTH(TODAY()),"MMM")&amp;RIGHT(YEAR(TODAY()),2),UPPER(E20)&amp;"-"&amp;UPPER(SUBSTITUTE(LEFT(TRIM(C20),15)," ","-"))&amp;"-"&amp;TEXT(MONTH(TODAY()),"MMM")&amp;RIGHT(YEAR(TODAY()),2)))</f>
        <v/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2">
        <f>COUNTIFS('🎨 Creatives'!$B$4:$B$103,B20,'🎨 Creatives'!$E$4:$E$103,"&lt;&gt;")</f>
        <v/>
      </c>
      <c r="S20" s="11" t="n"/>
    </row>
    <row r="21" ht="22" customHeight="1">
      <c r="A21" s="13" t="n">
        <v>18</v>
      </c>
      <c r="B21" s="14">
        <f>IF(C21="","",IF(E21="",UPPER(SUBSTITUTE(LEFT(TRIM(C21),20)," ","-"))&amp;"-"&amp;TEXT(MONTH(TODAY()),"MMM")&amp;RIGHT(YEAR(TODAY()),2),UPPER(E21)&amp;"-"&amp;UPPER(SUBSTITUTE(LEFT(TRIM(C21),15)," ","-"))&amp;"-"&amp;TEXT(MONTH(TODAY()),"MMM")&amp;RIGHT(YEAR(TODAY()),2)))</f>
        <v/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6">
        <f>COUNTIFS('🎨 Creatives'!$B$4:$B$103,B21,'🎨 Creatives'!$E$4:$E$103,"&lt;&gt;")</f>
        <v/>
      </c>
      <c r="S21" s="15" t="n"/>
    </row>
    <row r="22" ht="22" customHeight="1">
      <c r="A22" s="9" t="n">
        <v>19</v>
      </c>
      <c r="B22" s="10">
        <f>IF(C22="","",IF(E22="",UPPER(SUBSTITUTE(LEFT(TRIM(C22),20)," ","-"))&amp;"-"&amp;TEXT(MONTH(TODAY()),"MMM")&amp;RIGHT(YEAR(TODAY()),2),UPPER(E22)&amp;"-"&amp;UPPER(SUBSTITUTE(LEFT(TRIM(C22),15)," ","-"))&amp;"-"&amp;TEXT(MONTH(TODAY()),"MMM")&amp;RIGHT(YEAR(TODAY()),2)))</f>
        <v/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2">
        <f>COUNTIFS('🎨 Creatives'!$B$4:$B$103,B22,'🎨 Creatives'!$E$4:$E$103,"&lt;&gt;")</f>
        <v/>
      </c>
      <c r="S22" s="11" t="n"/>
    </row>
    <row r="23" ht="22" customHeight="1">
      <c r="A23" s="13" t="n">
        <v>20</v>
      </c>
      <c r="B23" s="14">
        <f>IF(C23="","",IF(E23="",UPPER(SUBSTITUTE(LEFT(TRIM(C23),20)," ","-"))&amp;"-"&amp;TEXT(MONTH(TODAY()),"MMM")&amp;RIGHT(YEAR(TODAY()),2),UPPER(E23)&amp;"-"&amp;UPPER(SUBSTITUTE(LEFT(TRIM(C23),15)," ","-"))&amp;"-"&amp;TEXT(MONTH(TODAY()),"MMM")&amp;RIGHT(YEAR(TODAY()),2)))</f>
        <v/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6">
        <f>COUNTIFS('🎨 Creatives'!$B$4:$B$103,B23,'🎨 Creatives'!$E$4:$E$103,"&lt;&gt;")</f>
        <v/>
      </c>
      <c r="S23" s="15" t="n"/>
    </row>
    <row r="24" ht="22" customHeight="1">
      <c r="A24" s="9" t="n">
        <v>21</v>
      </c>
      <c r="B24" s="10">
        <f>IF(C24="","",IF(E24="",UPPER(SUBSTITUTE(LEFT(TRIM(C24),20)," ","-"))&amp;"-"&amp;TEXT(MONTH(TODAY()),"MMM")&amp;RIGHT(YEAR(TODAY()),2),UPPER(E24)&amp;"-"&amp;UPPER(SUBSTITUTE(LEFT(TRIM(C24),15)," ","-"))&amp;"-"&amp;TEXT(MONTH(TODAY()),"MMM")&amp;RIGHT(YEAR(TODAY()),2)))</f>
        <v/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2">
        <f>COUNTIFS('🎨 Creatives'!$B$4:$B$103,B24,'🎨 Creatives'!$E$4:$E$103,"&lt;&gt;")</f>
        <v/>
      </c>
      <c r="S24" s="11" t="n"/>
    </row>
    <row r="25" ht="22" customHeight="1">
      <c r="A25" s="13" t="n">
        <v>22</v>
      </c>
      <c r="B25" s="14">
        <f>IF(C25="","",IF(E25="",UPPER(SUBSTITUTE(LEFT(TRIM(C25),20)," ","-"))&amp;"-"&amp;TEXT(MONTH(TODAY()),"MMM")&amp;RIGHT(YEAR(TODAY()),2),UPPER(E25)&amp;"-"&amp;UPPER(SUBSTITUTE(LEFT(TRIM(C25),15)," ","-"))&amp;"-"&amp;TEXT(MONTH(TODAY()),"MMM")&amp;RIGHT(YEAR(TODAY()),2)))</f>
        <v/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6">
        <f>COUNTIFS('🎨 Creatives'!$B$4:$B$103,B25,'🎨 Creatives'!$E$4:$E$103,"&lt;&gt;")</f>
        <v/>
      </c>
      <c r="S25" s="15" t="n"/>
    </row>
    <row r="26" ht="22" customHeight="1">
      <c r="A26" s="9" t="n">
        <v>23</v>
      </c>
      <c r="B26" s="10">
        <f>IF(C26="","",IF(E26="",UPPER(SUBSTITUTE(LEFT(TRIM(C26),20)," ","-"))&amp;"-"&amp;TEXT(MONTH(TODAY()),"MMM")&amp;RIGHT(YEAR(TODAY()),2),UPPER(E26)&amp;"-"&amp;UPPER(SUBSTITUTE(LEFT(TRIM(C26),15)," ","-"))&amp;"-"&amp;TEXT(MONTH(TODAY()),"MMM")&amp;RIGHT(YEAR(TODAY()),2)))</f>
        <v/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2">
        <f>COUNTIFS('🎨 Creatives'!$B$4:$B$103,B26,'🎨 Creatives'!$E$4:$E$103,"&lt;&gt;")</f>
        <v/>
      </c>
      <c r="S26" s="11" t="n"/>
    </row>
    <row r="27" ht="22" customHeight="1">
      <c r="A27" s="13" t="n">
        <v>24</v>
      </c>
      <c r="B27" s="14">
        <f>IF(C27="","",IF(E27="",UPPER(SUBSTITUTE(LEFT(TRIM(C27),20)," ","-"))&amp;"-"&amp;TEXT(MONTH(TODAY()),"MMM")&amp;RIGHT(YEAR(TODAY()),2),UPPER(E27)&amp;"-"&amp;UPPER(SUBSTITUTE(LEFT(TRIM(C27),15)," ","-"))&amp;"-"&amp;TEXT(MONTH(TODAY()),"MMM")&amp;RIGHT(YEAR(TODAY()),2)))</f>
        <v/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6">
        <f>COUNTIFS('🎨 Creatives'!$B$4:$B$103,B27,'🎨 Creatives'!$E$4:$E$103,"&lt;&gt;")</f>
        <v/>
      </c>
      <c r="S27" s="15" t="n"/>
    </row>
    <row r="28" ht="22" customHeight="1">
      <c r="A28" s="9" t="n">
        <v>25</v>
      </c>
      <c r="B28" s="10">
        <f>IF(C28="","",IF(E28="",UPPER(SUBSTITUTE(LEFT(TRIM(C28),20)," ","-"))&amp;"-"&amp;TEXT(MONTH(TODAY()),"MMM")&amp;RIGHT(YEAR(TODAY()),2),UPPER(E28)&amp;"-"&amp;UPPER(SUBSTITUTE(LEFT(TRIM(C28),15)," ","-"))&amp;"-"&amp;TEXT(MONTH(TODAY()),"MMM")&amp;RIGHT(YEAR(TODAY()),2)))</f>
        <v/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2">
        <f>COUNTIFS('🎨 Creatives'!$B$4:$B$103,B28,'🎨 Creatives'!$E$4:$E$103,"&lt;&gt;")</f>
        <v/>
      </c>
      <c r="S28" s="11" t="n"/>
    </row>
    <row r="29" ht="22" customHeight="1">
      <c r="A29" s="13" t="n">
        <v>26</v>
      </c>
      <c r="B29" s="14">
        <f>IF(C29="","",IF(E29="",UPPER(SUBSTITUTE(LEFT(TRIM(C29),20)," ","-"))&amp;"-"&amp;TEXT(MONTH(TODAY()),"MMM")&amp;RIGHT(YEAR(TODAY()),2),UPPER(E29)&amp;"-"&amp;UPPER(SUBSTITUTE(LEFT(TRIM(C29),15)," ","-"))&amp;"-"&amp;TEXT(MONTH(TODAY()),"MMM")&amp;RIGHT(YEAR(TODAY()),2)))</f>
        <v/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6">
        <f>COUNTIFS('🎨 Creatives'!$B$4:$B$103,B29,'🎨 Creatives'!$E$4:$E$103,"&lt;&gt;")</f>
        <v/>
      </c>
      <c r="S29" s="15" t="n"/>
    </row>
    <row r="30" ht="22" customHeight="1">
      <c r="A30" s="9" t="n">
        <v>27</v>
      </c>
      <c r="B30" s="10">
        <f>IF(C30="","",IF(E30="",UPPER(SUBSTITUTE(LEFT(TRIM(C30),20)," ","-"))&amp;"-"&amp;TEXT(MONTH(TODAY()),"MMM")&amp;RIGHT(YEAR(TODAY()),2),UPPER(E30)&amp;"-"&amp;UPPER(SUBSTITUTE(LEFT(TRIM(C30),15)," ","-"))&amp;"-"&amp;TEXT(MONTH(TODAY()),"MMM")&amp;RIGHT(YEAR(TODAY()),2)))</f>
        <v/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2">
        <f>COUNTIFS('🎨 Creatives'!$B$4:$B$103,B30,'🎨 Creatives'!$E$4:$E$103,"&lt;&gt;")</f>
        <v/>
      </c>
      <c r="S30" s="11" t="n"/>
    </row>
    <row r="31" ht="22" customHeight="1">
      <c r="A31" s="13" t="n">
        <v>28</v>
      </c>
      <c r="B31" s="14">
        <f>IF(C31="","",IF(E31="",UPPER(SUBSTITUTE(LEFT(TRIM(C31),20)," ","-"))&amp;"-"&amp;TEXT(MONTH(TODAY()),"MMM")&amp;RIGHT(YEAR(TODAY()),2),UPPER(E31)&amp;"-"&amp;UPPER(SUBSTITUTE(LEFT(TRIM(C31),15)," ","-"))&amp;"-"&amp;TEXT(MONTH(TODAY()),"MMM")&amp;RIGHT(YEAR(TODAY()),2)))</f>
        <v/>
      </c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6">
        <f>COUNTIFS('🎨 Creatives'!$B$4:$B$103,B31,'🎨 Creatives'!$E$4:$E$103,"&lt;&gt;")</f>
        <v/>
      </c>
      <c r="S31" s="15" t="n"/>
    </row>
    <row r="32" ht="22" customHeight="1">
      <c r="A32" s="9" t="n">
        <v>29</v>
      </c>
      <c r="B32" s="10">
        <f>IF(C32="","",IF(E32="",UPPER(SUBSTITUTE(LEFT(TRIM(C32),20)," ","-"))&amp;"-"&amp;TEXT(MONTH(TODAY()),"MMM")&amp;RIGHT(YEAR(TODAY()),2),UPPER(E32)&amp;"-"&amp;UPPER(SUBSTITUTE(LEFT(TRIM(C32),15)," ","-"))&amp;"-"&amp;TEXT(MONTH(TODAY()),"MMM")&amp;RIGHT(YEAR(TODAY()),2)))</f>
        <v/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2">
        <f>COUNTIFS('🎨 Creatives'!$B$4:$B$103,B32,'🎨 Creatives'!$E$4:$E$103,"&lt;&gt;")</f>
        <v/>
      </c>
      <c r="S32" s="11" t="n"/>
    </row>
    <row r="33" ht="22" customHeight="1">
      <c r="A33" s="13" t="n">
        <v>30</v>
      </c>
      <c r="B33" s="14">
        <f>IF(C33="","",IF(E33="",UPPER(SUBSTITUTE(LEFT(TRIM(C33),20)," ","-"))&amp;"-"&amp;TEXT(MONTH(TODAY()),"MMM")&amp;RIGHT(YEAR(TODAY()),2),UPPER(E33)&amp;"-"&amp;UPPER(SUBSTITUTE(LEFT(TRIM(C33),15)," ","-"))&amp;"-"&amp;TEXT(MONTH(TODAY()),"MMM")&amp;RIGHT(YEAR(TODAY()),2)))</f>
        <v/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6">
        <f>COUNTIFS('🎨 Creatives'!$B$4:$B$103,B33,'🎨 Creatives'!$E$4:$E$103,"&lt;&gt;")</f>
        <v/>
      </c>
      <c r="S33" s="15" t="n"/>
    </row>
    <row r="34" ht="22" customHeight="1">
      <c r="A34" s="9" t="n">
        <v>31</v>
      </c>
      <c r="B34" s="10">
        <f>IF(C34="","",IF(E34="",UPPER(SUBSTITUTE(LEFT(TRIM(C34),20)," ","-"))&amp;"-"&amp;TEXT(MONTH(TODAY()),"MMM")&amp;RIGHT(YEAR(TODAY()),2),UPPER(E34)&amp;"-"&amp;UPPER(SUBSTITUTE(LEFT(TRIM(C34),15)," ","-"))&amp;"-"&amp;TEXT(MONTH(TODAY()),"MMM")&amp;RIGHT(YEAR(TODAY()),2)))</f>
        <v/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2">
        <f>COUNTIFS('🎨 Creatives'!$B$4:$B$103,B34,'🎨 Creatives'!$E$4:$E$103,"&lt;&gt;")</f>
        <v/>
      </c>
      <c r="S34" s="11" t="n"/>
    </row>
    <row r="35" ht="22" customHeight="1">
      <c r="A35" s="13" t="n">
        <v>32</v>
      </c>
      <c r="B35" s="14">
        <f>IF(C35="","",IF(E35="",UPPER(SUBSTITUTE(LEFT(TRIM(C35),20)," ","-"))&amp;"-"&amp;TEXT(MONTH(TODAY()),"MMM")&amp;RIGHT(YEAR(TODAY()),2),UPPER(E35)&amp;"-"&amp;UPPER(SUBSTITUTE(LEFT(TRIM(C35),15)," ","-"))&amp;"-"&amp;TEXT(MONTH(TODAY()),"MMM")&amp;RIGHT(YEAR(TODAY()),2)))</f>
        <v/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6">
        <f>COUNTIFS('🎨 Creatives'!$B$4:$B$103,B35,'🎨 Creatives'!$E$4:$E$103,"&lt;&gt;")</f>
        <v/>
      </c>
      <c r="S35" s="15" t="n"/>
    </row>
    <row r="36" ht="22" customHeight="1">
      <c r="A36" s="9" t="n">
        <v>33</v>
      </c>
      <c r="B36" s="10">
        <f>IF(C36="","",IF(E36="",UPPER(SUBSTITUTE(LEFT(TRIM(C36),20)," ","-"))&amp;"-"&amp;TEXT(MONTH(TODAY()),"MMM")&amp;RIGHT(YEAR(TODAY()),2),UPPER(E36)&amp;"-"&amp;UPPER(SUBSTITUTE(LEFT(TRIM(C36),15)," ","-"))&amp;"-"&amp;TEXT(MONTH(TODAY()),"MMM")&amp;RIGHT(YEAR(TODAY()),2)))</f>
        <v/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2">
        <f>COUNTIFS('🎨 Creatives'!$B$4:$B$103,B36,'🎨 Creatives'!$E$4:$E$103,"&lt;&gt;")</f>
        <v/>
      </c>
      <c r="S36" s="11" t="n"/>
    </row>
    <row r="37" ht="22" customHeight="1">
      <c r="A37" s="13" t="n">
        <v>34</v>
      </c>
      <c r="B37" s="14">
        <f>IF(C37="","",IF(E37="",UPPER(SUBSTITUTE(LEFT(TRIM(C37),20)," ","-"))&amp;"-"&amp;TEXT(MONTH(TODAY()),"MMM")&amp;RIGHT(YEAR(TODAY()),2),UPPER(E37)&amp;"-"&amp;UPPER(SUBSTITUTE(LEFT(TRIM(C37),15)," ","-"))&amp;"-"&amp;TEXT(MONTH(TODAY()),"MMM")&amp;RIGHT(YEAR(TODAY()),2)))</f>
        <v/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6">
        <f>COUNTIFS('🎨 Creatives'!$B$4:$B$103,B37,'🎨 Creatives'!$E$4:$E$103,"&lt;&gt;")</f>
        <v/>
      </c>
      <c r="S37" s="15" t="n"/>
    </row>
    <row r="38" ht="22" customHeight="1">
      <c r="A38" s="9" t="n">
        <v>35</v>
      </c>
      <c r="B38" s="10">
        <f>IF(C38="","",IF(E38="",UPPER(SUBSTITUTE(LEFT(TRIM(C38),20)," ","-"))&amp;"-"&amp;TEXT(MONTH(TODAY()),"MMM")&amp;RIGHT(YEAR(TODAY()),2),UPPER(E38)&amp;"-"&amp;UPPER(SUBSTITUTE(LEFT(TRIM(C38),15)," ","-"))&amp;"-"&amp;TEXT(MONTH(TODAY()),"MMM")&amp;RIGHT(YEAR(TODAY()),2)))</f>
        <v/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2">
        <f>COUNTIFS('🎨 Creatives'!$B$4:$B$103,B38,'🎨 Creatives'!$E$4:$E$103,"&lt;&gt;")</f>
        <v/>
      </c>
      <c r="S38" s="11" t="n"/>
    </row>
    <row r="39" ht="22" customHeight="1">
      <c r="A39" s="13" t="n">
        <v>36</v>
      </c>
      <c r="B39" s="14">
        <f>IF(C39="","",IF(E39="",UPPER(SUBSTITUTE(LEFT(TRIM(C39),20)," ","-"))&amp;"-"&amp;TEXT(MONTH(TODAY()),"MMM")&amp;RIGHT(YEAR(TODAY()),2),UPPER(E39)&amp;"-"&amp;UPPER(SUBSTITUTE(LEFT(TRIM(C39),15)," ","-"))&amp;"-"&amp;TEXT(MONTH(TODAY()),"MMM")&amp;RIGHT(YEAR(TODAY()),2)))</f>
        <v/>
      </c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6">
        <f>COUNTIFS('🎨 Creatives'!$B$4:$B$103,B39,'🎨 Creatives'!$E$4:$E$103,"&lt;&gt;")</f>
        <v/>
      </c>
      <c r="S39" s="15" t="n"/>
    </row>
    <row r="40" ht="22" customHeight="1">
      <c r="A40" s="9" t="n">
        <v>37</v>
      </c>
      <c r="B40" s="10">
        <f>IF(C40="","",IF(E40="",UPPER(SUBSTITUTE(LEFT(TRIM(C40),20)," ","-"))&amp;"-"&amp;TEXT(MONTH(TODAY()),"MMM")&amp;RIGHT(YEAR(TODAY()),2),UPPER(E40)&amp;"-"&amp;UPPER(SUBSTITUTE(LEFT(TRIM(C40),15)," ","-"))&amp;"-"&amp;TEXT(MONTH(TODAY()),"MMM")&amp;RIGHT(YEAR(TODAY()),2)))</f>
        <v/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2">
        <f>COUNTIFS('🎨 Creatives'!$B$4:$B$103,B40,'🎨 Creatives'!$E$4:$E$103,"&lt;&gt;")</f>
        <v/>
      </c>
      <c r="S40" s="11" t="n"/>
    </row>
    <row r="41" ht="22" customHeight="1">
      <c r="A41" s="13" t="n">
        <v>38</v>
      </c>
      <c r="B41" s="14">
        <f>IF(C41="","",IF(E41="",UPPER(SUBSTITUTE(LEFT(TRIM(C41),20)," ","-"))&amp;"-"&amp;TEXT(MONTH(TODAY()),"MMM")&amp;RIGHT(YEAR(TODAY()),2),UPPER(E41)&amp;"-"&amp;UPPER(SUBSTITUTE(LEFT(TRIM(C41),15)," ","-"))&amp;"-"&amp;TEXT(MONTH(TODAY()),"MMM")&amp;RIGHT(YEAR(TODAY()),2)))</f>
        <v/>
      </c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6">
        <f>COUNTIFS('🎨 Creatives'!$B$4:$B$103,B41,'🎨 Creatives'!$E$4:$E$103,"&lt;&gt;")</f>
        <v/>
      </c>
      <c r="S41" s="15" t="n"/>
    </row>
    <row r="42" ht="22" customHeight="1">
      <c r="A42" s="9" t="n">
        <v>39</v>
      </c>
      <c r="B42" s="10">
        <f>IF(C42="","",IF(E42="",UPPER(SUBSTITUTE(LEFT(TRIM(C42),20)," ","-"))&amp;"-"&amp;TEXT(MONTH(TODAY()),"MMM")&amp;RIGHT(YEAR(TODAY()),2),UPPER(E42)&amp;"-"&amp;UPPER(SUBSTITUTE(LEFT(TRIM(C42),15)," ","-"))&amp;"-"&amp;TEXT(MONTH(TODAY()),"MMM")&amp;RIGHT(YEAR(TODAY()),2)))</f>
        <v/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2">
        <f>COUNTIFS('🎨 Creatives'!$B$4:$B$103,B42,'🎨 Creatives'!$E$4:$E$103,"&lt;&gt;")</f>
        <v/>
      </c>
      <c r="S42" s="11" t="n"/>
    </row>
    <row r="43" ht="22" customHeight="1">
      <c r="A43" s="13" t="n">
        <v>40</v>
      </c>
      <c r="B43" s="14">
        <f>IF(C43="","",IF(E43="",UPPER(SUBSTITUTE(LEFT(TRIM(C43),20)," ","-"))&amp;"-"&amp;TEXT(MONTH(TODAY()),"MMM")&amp;RIGHT(YEAR(TODAY()),2),UPPER(E43)&amp;"-"&amp;UPPER(SUBSTITUTE(LEFT(TRIM(C43),15)," ","-"))&amp;"-"&amp;TEXT(MONTH(TODAY()),"MMM")&amp;RIGHT(YEAR(TODAY()),2)))</f>
        <v/>
      </c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6">
        <f>COUNTIFS('🎨 Creatives'!$B$4:$B$103,B43,'🎨 Creatives'!$E$4:$E$103,"&lt;&gt;")</f>
        <v/>
      </c>
      <c r="S43" s="15" t="n"/>
    </row>
    <row r="44" ht="22" customHeight="1">
      <c r="A44" s="9" t="n">
        <v>41</v>
      </c>
      <c r="B44" s="10">
        <f>IF(C44="","",IF(E44="",UPPER(SUBSTITUTE(LEFT(TRIM(C44),20)," ","-"))&amp;"-"&amp;TEXT(MONTH(TODAY()),"MMM")&amp;RIGHT(YEAR(TODAY()),2),UPPER(E44)&amp;"-"&amp;UPPER(SUBSTITUTE(LEFT(TRIM(C44),15)," ","-"))&amp;"-"&amp;TEXT(MONTH(TODAY()),"MMM")&amp;RIGHT(YEAR(TODAY()),2)))</f>
        <v/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2">
        <f>COUNTIFS('🎨 Creatives'!$B$4:$B$103,B44,'🎨 Creatives'!$E$4:$E$103,"&lt;&gt;")</f>
        <v/>
      </c>
      <c r="S44" s="11" t="n"/>
    </row>
    <row r="45" ht="22" customHeight="1">
      <c r="A45" s="13" t="n">
        <v>42</v>
      </c>
      <c r="B45" s="14">
        <f>IF(C45="","",IF(E45="",UPPER(SUBSTITUTE(LEFT(TRIM(C45),20)," ","-"))&amp;"-"&amp;TEXT(MONTH(TODAY()),"MMM")&amp;RIGHT(YEAR(TODAY()),2),UPPER(E45)&amp;"-"&amp;UPPER(SUBSTITUTE(LEFT(TRIM(C45),15)," ","-"))&amp;"-"&amp;TEXT(MONTH(TODAY()),"MMM")&amp;RIGHT(YEAR(TODAY()),2)))</f>
        <v/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6">
        <f>COUNTIFS('🎨 Creatives'!$B$4:$B$103,B45,'🎨 Creatives'!$E$4:$E$103,"&lt;&gt;")</f>
        <v/>
      </c>
      <c r="S45" s="15" t="n"/>
    </row>
    <row r="46" ht="22" customHeight="1">
      <c r="A46" s="9" t="n">
        <v>43</v>
      </c>
      <c r="B46" s="10">
        <f>IF(C46="","",IF(E46="",UPPER(SUBSTITUTE(LEFT(TRIM(C46),20)," ","-"))&amp;"-"&amp;TEXT(MONTH(TODAY()),"MMM")&amp;RIGHT(YEAR(TODAY()),2),UPPER(E46)&amp;"-"&amp;UPPER(SUBSTITUTE(LEFT(TRIM(C46),15)," ","-"))&amp;"-"&amp;TEXT(MONTH(TODAY()),"MMM")&amp;RIGHT(YEAR(TODAY()),2)))</f>
        <v/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2">
        <f>COUNTIFS('🎨 Creatives'!$B$4:$B$103,B46,'🎨 Creatives'!$E$4:$E$103,"&lt;&gt;")</f>
        <v/>
      </c>
      <c r="S46" s="11" t="n"/>
    </row>
    <row r="47" ht="22" customHeight="1">
      <c r="A47" s="13" t="n">
        <v>44</v>
      </c>
      <c r="B47" s="14">
        <f>IF(C47="","",IF(E47="",UPPER(SUBSTITUTE(LEFT(TRIM(C47),20)," ","-"))&amp;"-"&amp;TEXT(MONTH(TODAY()),"MMM")&amp;RIGHT(YEAR(TODAY()),2),UPPER(E47)&amp;"-"&amp;UPPER(SUBSTITUTE(LEFT(TRIM(C47),15)," ","-"))&amp;"-"&amp;TEXT(MONTH(TODAY()),"MMM")&amp;RIGHT(YEAR(TODAY()),2)))</f>
        <v/>
      </c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6">
        <f>COUNTIFS('🎨 Creatives'!$B$4:$B$103,B47,'🎨 Creatives'!$E$4:$E$103,"&lt;&gt;")</f>
        <v/>
      </c>
      <c r="S47" s="15" t="n"/>
    </row>
    <row r="48" ht="22" customHeight="1">
      <c r="A48" s="9" t="n">
        <v>45</v>
      </c>
      <c r="B48" s="10">
        <f>IF(C48="","",IF(E48="",UPPER(SUBSTITUTE(LEFT(TRIM(C48),20)," ","-"))&amp;"-"&amp;TEXT(MONTH(TODAY()),"MMM")&amp;RIGHT(YEAR(TODAY()),2),UPPER(E48)&amp;"-"&amp;UPPER(SUBSTITUTE(LEFT(TRIM(C48),15)," ","-"))&amp;"-"&amp;TEXT(MONTH(TODAY()),"MMM")&amp;RIGHT(YEAR(TODAY()),2)))</f>
        <v/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2">
        <f>COUNTIFS('🎨 Creatives'!$B$4:$B$103,B48,'🎨 Creatives'!$E$4:$E$103,"&lt;&gt;")</f>
        <v/>
      </c>
      <c r="S48" s="11" t="n"/>
    </row>
    <row r="49" ht="22" customHeight="1">
      <c r="A49" s="13" t="n">
        <v>46</v>
      </c>
      <c r="B49" s="14">
        <f>IF(C49="","",IF(E49="",UPPER(SUBSTITUTE(LEFT(TRIM(C49),20)," ","-"))&amp;"-"&amp;TEXT(MONTH(TODAY()),"MMM")&amp;RIGHT(YEAR(TODAY()),2),UPPER(E49)&amp;"-"&amp;UPPER(SUBSTITUTE(LEFT(TRIM(C49),15)," ","-"))&amp;"-"&amp;TEXT(MONTH(TODAY()),"MMM")&amp;RIGHT(YEAR(TODAY()),2)))</f>
        <v/>
      </c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6">
        <f>COUNTIFS('🎨 Creatives'!$B$4:$B$103,B49,'🎨 Creatives'!$E$4:$E$103,"&lt;&gt;")</f>
        <v/>
      </c>
      <c r="S49" s="15" t="n"/>
    </row>
    <row r="50" ht="22" customHeight="1">
      <c r="A50" s="9" t="n">
        <v>47</v>
      </c>
      <c r="B50" s="10">
        <f>IF(C50="","",IF(E50="",UPPER(SUBSTITUTE(LEFT(TRIM(C50),20)," ","-"))&amp;"-"&amp;TEXT(MONTH(TODAY()),"MMM")&amp;RIGHT(YEAR(TODAY()),2),UPPER(E50)&amp;"-"&amp;UPPER(SUBSTITUTE(LEFT(TRIM(C50),15)," ","-"))&amp;"-"&amp;TEXT(MONTH(TODAY()),"MMM")&amp;RIGHT(YEAR(TODAY()),2)))</f>
        <v/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2">
        <f>COUNTIFS('🎨 Creatives'!$B$4:$B$103,B50,'🎨 Creatives'!$E$4:$E$103,"&lt;&gt;")</f>
        <v/>
      </c>
      <c r="S50" s="11" t="n"/>
    </row>
    <row r="51" ht="22" customHeight="1">
      <c r="A51" s="13" t="n">
        <v>48</v>
      </c>
      <c r="B51" s="14">
        <f>IF(C51="","",IF(E51="",UPPER(SUBSTITUTE(LEFT(TRIM(C51),20)," ","-"))&amp;"-"&amp;TEXT(MONTH(TODAY()),"MMM")&amp;RIGHT(YEAR(TODAY()),2),UPPER(E51)&amp;"-"&amp;UPPER(SUBSTITUTE(LEFT(TRIM(C51),15)," ","-"))&amp;"-"&amp;TEXT(MONTH(TODAY()),"MMM")&amp;RIGHT(YEAR(TODAY()),2)))</f>
        <v/>
      </c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6">
        <f>COUNTIFS('🎨 Creatives'!$B$4:$B$103,B51,'🎨 Creatives'!$E$4:$E$103,"&lt;&gt;")</f>
        <v/>
      </c>
      <c r="S51" s="15" t="n"/>
    </row>
    <row r="52" ht="22" customHeight="1">
      <c r="A52" s="9" t="n">
        <v>49</v>
      </c>
      <c r="B52" s="10">
        <f>IF(C52="","",IF(E52="",UPPER(SUBSTITUTE(LEFT(TRIM(C52),20)," ","-"))&amp;"-"&amp;TEXT(MONTH(TODAY()),"MMM")&amp;RIGHT(YEAR(TODAY()),2),UPPER(E52)&amp;"-"&amp;UPPER(SUBSTITUTE(LEFT(TRIM(C52),15)," ","-"))&amp;"-"&amp;TEXT(MONTH(TODAY()),"MMM")&amp;RIGHT(YEAR(TODAY()),2)))</f>
        <v/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2">
        <f>COUNTIFS('🎨 Creatives'!$B$4:$B$103,B52,'🎨 Creatives'!$E$4:$E$103,"&lt;&gt;")</f>
        <v/>
      </c>
      <c r="S52" s="11" t="n"/>
    </row>
    <row r="53" ht="22" customHeight="1">
      <c r="A53" s="13" t="n">
        <v>50</v>
      </c>
      <c r="B53" s="14">
        <f>IF(C53="","",IF(E53="",UPPER(SUBSTITUTE(LEFT(TRIM(C53),20)," ","-"))&amp;"-"&amp;TEXT(MONTH(TODAY()),"MMM")&amp;RIGHT(YEAR(TODAY()),2),UPPER(E53)&amp;"-"&amp;UPPER(SUBSTITUTE(LEFT(TRIM(C53),15)," ","-"))&amp;"-"&amp;TEXT(MONTH(TODAY()),"MMM")&amp;RIGHT(YEAR(TODAY()),2)))</f>
        <v/>
      </c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6">
        <f>COUNTIFS('🎨 Creatives'!$B$4:$B$103,B53,'🎨 Creatives'!$E$4:$E$103,"&lt;&gt;")</f>
        <v/>
      </c>
      <c r="S53" s="15" t="n"/>
    </row>
    <row r="54" ht="22" customHeight="1">
      <c r="A54" s="9" t="n">
        <v>51</v>
      </c>
      <c r="B54" s="10">
        <f>IF(C54="","",IF(E54="",UPPER(SUBSTITUTE(LEFT(TRIM(C54),20)," ","-"))&amp;"-"&amp;TEXT(MONTH(TODAY()),"MMM")&amp;RIGHT(YEAR(TODAY()),2),UPPER(E54)&amp;"-"&amp;UPPER(SUBSTITUTE(LEFT(TRIM(C54),15)," ","-"))&amp;"-"&amp;TEXT(MONTH(TODAY()),"MMM")&amp;RIGHT(YEAR(TODAY()),2)))</f>
        <v/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2">
        <f>COUNTIFS('🎨 Creatives'!$B$4:$B$103,B54,'🎨 Creatives'!$E$4:$E$103,"&lt;&gt;")</f>
        <v/>
      </c>
      <c r="S54" s="11" t="n"/>
    </row>
    <row r="55" ht="22" customHeight="1">
      <c r="A55" s="13" t="n">
        <v>52</v>
      </c>
      <c r="B55" s="14">
        <f>IF(C55="","",IF(E55="",UPPER(SUBSTITUTE(LEFT(TRIM(C55),20)," ","-"))&amp;"-"&amp;TEXT(MONTH(TODAY()),"MMM")&amp;RIGHT(YEAR(TODAY()),2),UPPER(E55)&amp;"-"&amp;UPPER(SUBSTITUTE(LEFT(TRIM(C55),15)," ","-"))&amp;"-"&amp;TEXT(MONTH(TODAY()),"MMM")&amp;RIGHT(YEAR(TODAY()),2)))</f>
        <v/>
      </c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6">
        <f>COUNTIFS('🎨 Creatives'!$B$4:$B$103,B55,'🎨 Creatives'!$E$4:$E$103,"&lt;&gt;")</f>
        <v/>
      </c>
      <c r="S55" s="15" t="n"/>
    </row>
    <row r="56" ht="22" customHeight="1">
      <c r="A56" s="9" t="n">
        <v>53</v>
      </c>
      <c r="B56" s="10">
        <f>IF(C56="","",IF(E56="",UPPER(SUBSTITUTE(LEFT(TRIM(C56),20)," ","-"))&amp;"-"&amp;TEXT(MONTH(TODAY()),"MMM")&amp;RIGHT(YEAR(TODAY()),2),UPPER(E56)&amp;"-"&amp;UPPER(SUBSTITUTE(LEFT(TRIM(C56),15)," ","-"))&amp;"-"&amp;TEXT(MONTH(TODAY()),"MMM")&amp;RIGHT(YEAR(TODAY()),2)))</f>
        <v/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2">
        <f>COUNTIFS('🎨 Creatives'!$B$4:$B$103,B56,'🎨 Creatives'!$E$4:$E$103,"&lt;&gt;")</f>
        <v/>
      </c>
      <c r="S56" s="11" t="n"/>
    </row>
    <row r="57" ht="22" customHeight="1">
      <c r="A57" s="13" t="n">
        <v>54</v>
      </c>
      <c r="B57" s="14">
        <f>IF(C57="","",IF(E57="",UPPER(SUBSTITUTE(LEFT(TRIM(C57),20)," ","-"))&amp;"-"&amp;TEXT(MONTH(TODAY()),"MMM")&amp;RIGHT(YEAR(TODAY()),2),UPPER(E57)&amp;"-"&amp;UPPER(SUBSTITUTE(LEFT(TRIM(C57),15)," ","-"))&amp;"-"&amp;TEXT(MONTH(TODAY()),"MMM")&amp;RIGHT(YEAR(TODAY()),2)))</f>
        <v/>
      </c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6">
        <f>COUNTIFS('🎨 Creatives'!$B$4:$B$103,B57,'🎨 Creatives'!$E$4:$E$103,"&lt;&gt;")</f>
        <v/>
      </c>
      <c r="S57" s="15" t="n"/>
    </row>
    <row r="58" ht="22" customHeight="1">
      <c r="A58" s="9" t="n">
        <v>55</v>
      </c>
      <c r="B58" s="10">
        <f>IF(C58="","",IF(E58="",UPPER(SUBSTITUTE(LEFT(TRIM(C58),20)," ","-"))&amp;"-"&amp;TEXT(MONTH(TODAY()),"MMM")&amp;RIGHT(YEAR(TODAY()),2),UPPER(E58)&amp;"-"&amp;UPPER(SUBSTITUTE(LEFT(TRIM(C58),15)," ","-"))&amp;"-"&amp;TEXT(MONTH(TODAY()),"MMM")&amp;RIGHT(YEAR(TODAY()),2)))</f>
        <v/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2">
        <f>COUNTIFS('🎨 Creatives'!$B$4:$B$103,B58,'🎨 Creatives'!$E$4:$E$103,"&lt;&gt;")</f>
        <v/>
      </c>
      <c r="S58" s="11" t="n"/>
    </row>
    <row r="59" ht="22" customHeight="1">
      <c r="A59" s="13" t="n">
        <v>56</v>
      </c>
      <c r="B59" s="14">
        <f>IF(C59="","",IF(E59="",UPPER(SUBSTITUTE(LEFT(TRIM(C59),20)," ","-"))&amp;"-"&amp;TEXT(MONTH(TODAY()),"MMM")&amp;RIGHT(YEAR(TODAY()),2),UPPER(E59)&amp;"-"&amp;UPPER(SUBSTITUTE(LEFT(TRIM(C59),15)," ","-"))&amp;"-"&amp;TEXT(MONTH(TODAY()),"MMM")&amp;RIGHT(YEAR(TODAY()),2)))</f>
        <v/>
      </c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6">
        <f>COUNTIFS('🎨 Creatives'!$B$4:$B$103,B59,'🎨 Creatives'!$E$4:$E$103,"&lt;&gt;")</f>
        <v/>
      </c>
      <c r="S59" s="15" t="n"/>
    </row>
    <row r="60" ht="22" customHeight="1">
      <c r="A60" s="9" t="n">
        <v>57</v>
      </c>
      <c r="B60" s="10">
        <f>IF(C60="","",IF(E60="",UPPER(SUBSTITUTE(LEFT(TRIM(C60),20)," ","-"))&amp;"-"&amp;TEXT(MONTH(TODAY()),"MMM")&amp;RIGHT(YEAR(TODAY()),2),UPPER(E60)&amp;"-"&amp;UPPER(SUBSTITUTE(LEFT(TRIM(C60),15)," ","-"))&amp;"-"&amp;TEXT(MONTH(TODAY()),"MMM")&amp;RIGHT(YEAR(TODAY()),2)))</f>
        <v/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2">
        <f>COUNTIFS('🎨 Creatives'!$B$4:$B$103,B60,'🎨 Creatives'!$E$4:$E$103,"&lt;&gt;")</f>
        <v/>
      </c>
      <c r="S60" s="11" t="n"/>
    </row>
    <row r="61" ht="22" customHeight="1">
      <c r="A61" s="13" t="n">
        <v>58</v>
      </c>
      <c r="B61" s="14">
        <f>IF(C61="","",IF(E61="",UPPER(SUBSTITUTE(LEFT(TRIM(C61),20)," ","-"))&amp;"-"&amp;TEXT(MONTH(TODAY()),"MMM")&amp;RIGHT(YEAR(TODAY()),2),UPPER(E61)&amp;"-"&amp;UPPER(SUBSTITUTE(LEFT(TRIM(C61),15)," ","-"))&amp;"-"&amp;TEXT(MONTH(TODAY()),"MMM")&amp;RIGHT(YEAR(TODAY()),2)))</f>
        <v/>
      </c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6">
        <f>COUNTIFS('🎨 Creatives'!$B$4:$B$103,B61,'🎨 Creatives'!$E$4:$E$103,"&lt;&gt;")</f>
        <v/>
      </c>
      <c r="S61" s="15" t="n"/>
    </row>
    <row r="62" ht="22" customHeight="1">
      <c r="A62" s="9" t="n">
        <v>59</v>
      </c>
      <c r="B62" s="10">
        <f>IF(C62="","",IF(E62="",UPPER(SUBSTITUTE(LEFT(TRIM(C62),20)," ","-"))&amp;"-"&amp;TEXT(MONTH(TODAY()),"MMM")&amp;RIGHT(YEAR(TODAY()),2),UPPER(E62)&amp;"-"&amp;UPPER(SUBSTITUTE(LEFT(TRIM(C62),15)," ","-"))&amp;"-"&amp;TEXT(MONTH(TODAY()),"MMM")&amp;RIGHT(YEAR(TODAY()),2)))</f>
        <v/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2">
        <f>COUNTIFS('🎨 Creatives'!$B$4:$B$103,B62,'🎨 Creatives'!$E$4:$E$103,"&lt;&gt;")</f>
        <v/>
      </c>
      <c r="S62" s="11" t="n"/>
    </row>
    <row r="63" ht="22" customHeight="1">
      <c r="A63" s="13" t="n">
        <v>60</v>
      </c>
      <c r="B63" s="14">
        <f>IF(C63="","",IF(E63="",UPPER(SUBSTITUTE(LEFT(TRIM(C63),20)," ","-"))&amp;"-"&amp;TEXT(MONTH(TODAY()),"MMM")&amp;RIGHT(YEAR(TODAY()),2),UPPER(E63)&amp;"-"&amp;UPPER(SUBSTITUTE(LEFT(TRIM(C63),15)," ","-"))&amp;"-"&amp;TEXT(MONTH(TODAY()),"MMM")&amp;RIGHT(YEAR(TODAY()),2)))</f>
        <v/>
      </c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6">
        <f>COUNTIFS('🎨 Creatives'!$B$4:$B$103,B63,'🎨 Creatives'!$E$4:$E$103,"&lt;&gt;")</f>
        <v/>
      </c>
      <c r="S63" s="15" t="n"/>
    </row>
    <row r="64" ht="22" customHeight="1">
      <c r="A64" s="9" t="n">
        <v>61</v>
      </c>
      <c r="B64" s="10">
        <f>IF(C64="","",IF(E64="",UPPER(SUBSTITUTE(LEFT(TRIM(C64),20)," ","-"))&amp;"-"&amp;TEXT(MONTH(TODAY()),"MMM")&amp;RIGHT(YEAR(TODAY()),2),UPPER(E64)&amp;"-"&amp;UPPER(SUBSTITUTE(LEFT(TRIM(C64),15)," ","-"))&amp;"-"&amp;TEXT(MONTH(TODAY()),"MMM")&amp;RIGHT(YEAR(TODAY()),2)))</f>
        <v/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2">
        <f>COUNTIFS('🎨 Creatives'!$B$4:$B$103,B64,'🎨 Creatives'!$E$4:$E$103,"&lt;&gt;")</f>
        <v/>
      </c>
      <c r="S64" s="11" t="n"/>
    </row>
    <row r="65" ht="22" customHeight="1">
      <c r="A65" s="13" t="n">
        <v>62</v>
      </c>
      <c r="B65" s="14">
        <f>IF(C65="","",IF(E65="",UPPER(SUBSTITUTE(LEFT(TRIM(C65),20)," ","-"))&amp;"-"&amp;TEXT(MONTH(TODAY()),"MMM")&amp;RIGHT(YEAR(TODAY()),2),UPPER(E65)&amp;"-"&amp;UPPER(SUBSTITUTE(LEFT(TRIM(C65),15)," ","-"))&amp;"-"&amp;TEXT(MONTH(TODAY()),"MMM")&amp;RIGHT(YEAR(TODAY()),2)))</f>
        <v/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6">
        <f>COUNTIFS('🎨 Creatives'!$B$4:$B$103,B65,'🎨 Creatives'!$E$4:$E$103,"&lt;&gt;")</f>
        <v/>
      </c>
      <c r="S65" s="15" t="n"/>
    </row>
    <row r="66" ht="22" customHeight="1">
      <c r="A66" s="9" t="n">
        <v>63</v>
      </c>
      <c r="B66" s="10">
        <f>IF(C66="","",IF(E66="",UPPER(SUBSTITUTE(LEFT(TRIM(C66),20)," ","-"))&amp;"-"&amp;TEXT(MONTH(TODAY()),"MMM")&amp;RIGHT(YEAR(TODAY()),2),UPPER(E66)&amp;"-"&amp;UPPER(SUBSTITUTE(LEFT(TRIM(C66),15)," ","-"))&amp;"-"&amp;TEXT(MONTH(TODAY()),"MMM")&amp;RIGHT(YEAR(TODAY()),2)))</f>
        <v/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2">
        <f>COUNTIFS('🎨 Creatives'!$B$4:$B$103,B66,'🎨 Creatives'!$E$4:$E$103,"&lt;&gt;")</f>
        <v/>
      </c>
      <c r="S66" s="11" t="n"/>
    </row>
    <row r="67" ht="22" customHeight="1">
      <c r="A67" s="13" t="n">
        <v>64</v>
      </c>
      <c r="B67" s="14">
        <f>IF(C67="","",IF(E67="",UPPER(SUBSTITUTE(LEFT(TRIM(C67),20)," ","-"))&amp;"-"&amp;TEXT(MONTH(TODAY()),"MMM")&amp;RIGHT(YEAR(TODAY()),2),UPPER(E67)&amp;"-"&amp;UPPER(SUBSTITUTE(LEFT(TRIM(C67),15)," ","-"))&amp;"-"&amp;TEXT(MONTH(TODAY()),"MMM")&amp;RIGHT(YEAR(TODAY()),2)))</f>
        <v/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6">
        <f>COUNTIFS('🎨 Creatives'!$B$4:$B$103,B67,'🎨 Creatives'!$E$4:$E$103,"&lt;&gt;")</f>
        <v/>
      </c>
      <c r="S67" s="15" t="n"/>
    </row>
    <row r="68" ht="22" customHeight="1">
      <c r="A68" s="9" t="n">
        <v>65</v>
      </c>
      <c r="B68" s="10">
        <f>IF(C68="","",IF(E68="",UPPER(SUBSTITUTE(LEFT(TRIM(C68),20)," ","-"))&amp;"-"&amp;TEXT(MONTH(TODAY()),"MMM")&amp;RIGHT(YEAR(TODAY()),2),UPPER(E68)&amp;"-"&amp;UPPER(SUBSTITUTE(LEFT(TRIM(C68),15)," ","-"))&amp;"-"&amp;TEXT(MONTH(TODAY()),"MMM")&amp;RIGHT(YEAR(TODAY()),2)))</f>
        <v/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2">
        <f>COUNTIFS('🎨 Creatives'!$B$4:$B$103,B68,'🎨 Creatives'!$E$4:$E$103,"&lt;&gt;")</f>
        <v/>
      </c>
      <c r="S68" s="11" t="n"/>
    </row>
    <row r="69" ht="22" customHeight="1">
      <c r="A69" s="13" t="n">
        <v>66</v>
      </c>
      <c r="B69" s="14">
        <f>IF(C69="","",IF(E69="",UPPER(SUBSTITUTE(LEFT(TRIM(C69),20)," ","-"))&amp;"-"&amp;TEXT(MONTH(TODAY()),"MMM")&amp;RIGHT(YEAR(TODAY()),2),UPPER(E69)&amp;"-"&amp;UPPER(SUBSTITUTE(LEFT(TRIM(C69),15)," ","-"))&amp;"-"&amp;TEXT(MONTH(TODAY()),"MMM")&amp;RIGHT(YEAR(TODAY()),2)))</f>
        <v/>
      </c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6">
        <f>COUNTIFS('🎨 Creatives'!$B$4:$B$103,B69,'🎨 Creatives'!$E$4:$E$103,"&lt;&gt;")</f>
        <v/>
      </c>
      <c r="S69" s="15" t="n"/>
    </row>
    <row r="70" ht="22" customHeight="1">
      <c r="A70" s="9" t="n">
        <v>67</v>
      </c>
      <c r="B70" s="10">
        <f>IF(C70="","",IF(E70="",UPPER(SUBSTITUTE(LEFT(TRIM(C70),20)," ","-"))&amp;"-"&amp;TEXT(MONTH(TODAY()),"MMM")&amp;RIGHT(YEAR(TODAY()),2),UPPER(E70)&amp;"-"&amp;UPPER(SUBSTITUTE(LEFT(TRIM(C70),15)," ","-"))&amp;"-"&amp;TEXT(MONTH(TODAY()),"MMM")&amp;RIGHT(YEAR(TODAY()),2)))</f>
        <v/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2">
        <f>COUNTIFS('🎨 Creatives'!$B$4:$B$103,B70,'🎨 Creatives'!$E$4:$E$103,"&lt;&gt;")</f>
        <v/>
      </c>
      <c r="S70" s="11" t="n"/>
    </row>
    <row r="71" ht="22" customHeight="1">
      <c r="A71" s="13" t="n">
        <v>68</v>
      </c>
      <c r="B71" s="14">
        <f>IF(C71="","",IF(E71="",UPPER(SUBSTITUTE(LEFT(TRIM(C71),20)," ","-"))&amp;"-"&amp;TEXT(MONTH(TODAY()),"MMM")&amp;RIGHT(YEAR(TODAY()),2),UPPER(E71)&amp;"-"&amp;UPPER(SUBSTITUTE(LEFT(TRIM(C71),15)," ","-"))&amp;"-"&amp;TEXT(MONTH(TODAY()),"MMM")&amp;RIGHT(YEAR(TODAY()),2)))</f>
        <v/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6">
        <f>COUNTIFS('🎨 Creatives'!$B$4:$B$103,B71,'🎨 Creatives'!$E$4:$E$103,"&lt;&gt;")</f>
        <v/>
      </c>
      <c r="S71" s="15" t="n"/>
    </row>
    <row r="72" ht="22" customHeight="1">
      <c r="A72" s="9" t="n">
        <v>69</v>
      </c>
      <c r="B72" s="10">
        <f>IF(C72="","",IF(E72="",UPPER(SUBSTITUTE(LEFT(TRIM(C72),20)," ","-"))&amp;"-"&amp;TEXT(MONTH(TODAY()),"MMM")&amp;RIGHT(YEAR(TODAY()),2),UPPER(E72)&amp;"-"&amp;UPPER(SUBSTITUTE(LEFT(TRIM(C72),15)," ","-"))&amp;"-"&amp;TEXT(MONTH(TODAY()),"MMM")&amp;RIGHT(YEAR(TODAY()),2)))</f>
        <v/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2">
        <f>COUNTIFS('🎨 Creatives'!$B$4:$B$103,B72,'🎨 Creatives'!$E$4:$E$103,"&lt;&gt;")</f>
        <v/>
      </c>
      <c r="S72" s="11" t="n"/>
    </row>
    <row r="73" ht="22" customHeight="1">
      <c r="A73" s="13" t="n">
        <v>70</v>
      </c>
      <c r="B73" s="14">
        <f>IF(C73="","",IF(E73="",UPPER(SUBSTITUTE(LEFT(TRIM(C73),20)," ","-"))&amp;"-"&amp;TEXT(MONTH(TODAY()),"MMM")&amp;RIGHT(YEAR(TODAY()),2),UPPER(E73)&amp;"-"&amp;UPPER(SUBSTITUTE(LEFT(TRIM(C73),15)," ","-"))&amp;"-"&amp;TEXT(MONTH(TODAY()),"MMM")&amp;RIGHT(YEAR(TODAY()),2)))</f>
        <v/>
      </c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6">
        <f>COUNTIFS('🎨 Creatives'!$B$4:$B$103,B73,'🎨 Creatives'!$E$4:$E$103,"&lt;&gt;")</f>
        <v/>
      </c>
      <c r="S73" s="15" t="n"/>
    </row>
    <row r="74" ht="22" customHeight="1">
      <c r="A74" s="9" t="n">
        <v>71</v>
      </c>
      <c r="B74" s="10">
        <f>IF(C74="","",IF(E74="",UPPER(SUBSTITUTE(LEFT(TRIM(C74),20)," ","-"))&amp;"-"&amp;TEXT(MONTH(TODAY()),"MMM")&amp;RIGHT(YEAR(TODAY()),2),UPPER(E74)&amp;"-"&amp;UPPER(SUBSTITUTE(LEFT(TRIM(C74),15)," ","-"))&amp;"-"&amp;TEXT(MONTH(TODAY()),"MMM")&amp;RIGHT(YEAR(TODAY()),2)))</f>
        <v/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2">
        <f>COUNTIFS('🎨 Creatives'!$B$4:$B$103,B74,'🎨 Creatives'!$E$4:$E$103,"&lt;&gt;")</f>
        <v/>
      </c>
      <c r="S74" s="11" t="n"/>
    </row>
    <row r="75" ht="22" customHeight="1">
      <c r="A75" s="13" t="n">
        <v>72</v>
      </c>
      <c r="B75" s="14">
        <f>IF(C75="","",IF(E75="",UPPER(SUBSTITUTE(LEFT(TRIM(C75),20)," ","-"))&amp;"-"&amp;TEXT(MONTH(TODAY()),"MMM")&amp;RIGHT(YEAR(TODAY()),2),UPPER(E75)&amp;"-"&amp;UPPER(SUBSTITUTE(LEFT(TRIM(C75),15)," ","-"))&amp;"-"&amp;TEXT(MONTH(TODAY()),"MMM")&amp;RIGHT(YEAR(TODAY()),2)))</f>
        <v/>
      </c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6">
        <f>COUNTIFS('🎨 Creatives'!$B$4:$B$103,B75,'🎨 Creatives'!$E$4:$E$103,"&lt;&gt;")</f>
        <v/>
      </c>
      <c r="S75" s="15" t="n"/>
    </row>
    <row r="76" ht="22" customHeight="1">
      <c r="A76" s="9" t="n">
        <v>73</v>
      </c>
      <c r="B76" s="10">
        <f>IF(C76="","",IF(E76="",UPPER(SUBSTITUTE(LEFT(TRIM(C76),20)," ","-"))&amp;"-"&amp;TEXT(MONTH(TODAY()),"MMM")&amp;RIGHT(YEAR(TODAY()),2),UPPER(E76)&amp;"-"&amp;UPPER(SUBSTITUTE(LEFT(TRIM(C76),15)," ","-"))&amp;"-"&amp;TEXT(MONTH(TODAY()),"MMM")&amp;RIGHT(YEAR(TODAY()),2)))</f>
        <v/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2">
        <f>COUNTIFS('🎨 Creatives'!$B$4:$B$103,B76,'🎨 Creatives'!$E$4:$E$103,"&lt;&gt;")</f>
        <v/>
      </c>
      <c r="S76" s="11" t="n"/>
    </row>
    <row r="77" ht="22" customHeight="1">
      <c r="A77" s="13" t="n">
        <v>74</v>
      </c>
      <c r="B77" s="14">
        <f>IF(C77="","",IF(E77="",UPPER(SUBSTITUTE(LEFT(TRIM(C77),20)," ","-"))&amp;"-"&amp;TEXT(MONTH(TODAY()),"MMM")&amp;RIGHT(YEAR(TODAY()),2),UPPER(E77)&amp;"-"&amp;UPPER(SUBSTITUTE(LEFT(TRIM(C77),15)," ","-"))&amp;"-"&amp;TEXT(MONTH(TODAY()),"MMM")&amp;RIGHT(YEAR(TODAY()),2)))</f>
        <v/>
      </c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6">
        <f>COUNTIFS('🎨 Creatives'!$B$4:$B$103,B77,'🎨 Creatives'!$E$4:$E$103,"&lt;&gt;")</f>
        <v/>
      </c>
      <c r="S77" s="15" t="n"/>
    </row>
    <row r="78" ht="22" customHeight="1">
      <c r="A78" s="9" t="n">
        <v>75</v>
      </c>
      <c r="B78" s="10">
        <f>IF(C78="","",IF(E78="",UPPER(SUBSTITUTE(LEFT(TRIM(C78),20)," ","-"))&amp;"-"&amp;TEXT(MONTH(TODAY()),"MMM")&amp;RIGHT(YEAR(TODAY()),2),UPPER(E78)&amp;"-"&amp;UPPER(SUBSTITUTE(LEFT(TRIM(C78),15)," ","-"))&amp;"-"&amp;TEXT(MONTH(TODAY()),"MMM")&amp;RIGHT(YEAR(TODAY()),2)))</f>
        <v/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2">
        <f>COUNTIFS('🎨 Creatives'!$B$4:$B$103,B78,'🎨 Creatives'!$E$4:$E$103,"&lt;&gt;")</f>
        <v/>
      </c>
      <c r="S78" s="11" t="n"/>
    </row>
    <row r="79" ht="22" customHeight="1">
      <c r="A79" s="13" t="n">
        <v>76</v>
      </c>
      <c r="B79" s="14">
        <f>IF(C79="","",IF(E79="",UPPER(SUBSTITUTE(LEFT(TRIM(C79),20)," ","-"))&amp;"-"&amp;TEXT(MONTH(TODAY()),"MMM")&amp;RIGHT(YEAR(TODAY()),2),UPPER(E79)&amp;"-"&amp;UPPER(SUBSTITUTE(LEFT(TRIM(C79),15)," ","-"))&amp;"-"&amp;TEXT(MONTH(TODAY()),"MMM")&amp;RIGHT(YEAR(TODAY()),2)))</f>
        <v/>
      </c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6">
        <f>COUNTIFS('🎨 Creatives'!$B$4:$B$103,B79,'🎨 Creatives'!$E$4:$E$103,"&lt;&gt;")</f>
        <v/>
      </c>
      <c r="S79" s="15" t="n"/>
    </row>
    <row r="80" ht="22" customHeight="1">
      <c r="A80" s="9" t="n">
        <v>77</v>
      </c>
      <c r="B80" s="10">
        <f>IF(C80="","",IF(E80="",UPPER(SUBSTITUTE(LEFT(TRIM(C80),20)," ","-"))&amp;"-"&amp;TEXT(MONTH(TODAY()),"MMM")&amp;RIGHT(YEAR(TODAY()),2),UPPER(E80)&amp;"-"&amp;UPPER(SUBSTITUTE(LEFT(TRIM(C80),15)," ","-"))&amp;"-"&amp;TEXT(MONTH(TODAY()),"MMM")&amp;RIGHT(YEAR(TODAY()),2)))</f>
        <v/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2">
        <f>COUNTIFS('🎨 Creatives'!$B$4:$B$103,B80,'🎨 Creatives'!$E$4:$E$103,"&lt;&gt;")</f>
        <v/>
      </c>
      <c r="S80" s="11" t="n"/>
    </row>
    <row r="81" ht="22" customHeight="1">
      <c r="A81" s="13" t="n">
        <v>78</v>
      </c>
      <c r="B81" s="14">
        <f>IF(C81="","",IF(E81="",UPPER(SUBSTITUTE(LEFT(TRIM(C81),20)," ","-"))&amp;"-"&amp;TEXT(MONTH(TODAY()),"MMM")&amp;RIGHT(YEAR(TODAY()),2),UPPER(E81)&amp;"-"&amp;UPPER(SUBSTITUTE(LEFT(TRIM(C81),15)," ","-"))&amp;"-"&amp;TEXT(MONTH(TODAY()),"MMM")&amp;RIGHT(YEAR(TODAY()),2)))</f>
        <v/>
      </c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6">
        <f>COUNTIFS('🎨 Creatives'!$B$4:$B$103,B81,'🎨 Creatives'!$E$4:$E$103,"&lt;&gt;")</f>
        <v/>
      </c>
      <c r="S81" s="15" t="n"/>
    </row>
    <row r="82" ht="22" customHeight="1">
      <c r="A82" s="9" t="n">
        <v>79</v>
      </c>
      <c r="B82" s="10">
        <f>IF(C82="","",IF(E82="",UPPER(SUBSTITUTE(LEFT(TRIM(C82),20)," ","-"))&amp;"-"&amp;TEXT(MONTH(TODAY()),"MMM")&amp;RIGHT(YEAR(TODAY()),2),UPPER(E82)&amp;"-"&amp;UPPER(SUBSTITUTE(LEFT(TRIM(C82),15)," ","-"))&amp;"-"&amp;TEXT(MONTH(TODAY()),"MMM")&amp;RIGHT(YEAR(TODAY()),2)))</f>
        <v/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2">
        <f>COUNTIFS('🎨 Creatives'!$B$4:$B$103,B82,'🎨 Creatives'!$E$4:$E$103,"&lt;&gt;")</f>
        <v/>
      </c>
      <c r="S82" s="11" t="n"/>
    </row>
    <row r="83" ht="22" customHeight="1">
      <c r="A83" s="13" t="n">
        <v>80</v>
      </c>
      <c r="B83" s="14">
        <f>IF(C83="","",IF(E83="",UPPER(SUBSTITUTE(LEFT(TRIM(C83),20)," ","-"))&amp;"-"&amp;TEXT(MONTH(TODAY()),"MMM")&amp;RIGHT(YEAR(TODAY()),2),UPPER(E83)&amp;"-"&amp;UPPER(SUBSTITUTE(LEFT(TRIM(C83),15)," ","-"))&amp;"-"&amp;TEXT(MONTH(TODAY()),"MMM")&amp;RIGHT(YEAR(TODAY()),2)))</f>
        <v/>
      </c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6">
        <f>COUNTIFS('🎨 Creatives'!$B$4:$B$103,B83,'🎨 Creatives'!$E$4:$E$103,"&lt;&gt;")</f>
        <v/>
      </c>
      <c r="S83" s="15" t="n"/>
    </row>
    <row r="84" ht="22" customHeight="1">
      <c r="A84" s="9" t="n">
        <v>81</v>
      </c>
      <c r="B84" s="10">
        <f>IF(C84="","",IF(E84="",UPPER(SUBSTITUTE(LEFT(TRIM(C84),20)," ","-"))&amp;"-"&amp;TEXT(MONTH(TODAY()),"MMM")&amp;RIGHT(YEAR(TODAY()),2),UPPER(E84)&amp;"-"&amp;UPPER(SUBSTITUTE(LEFT(TRIM(C84),15)," ","-"))&amp;"-"&amp;TEXT(MONTH(TODAY()),"MMM")&amp;RIGHT(YEAR(TODAY()),2)))</f>
        <v/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2">
        <f>COUNTIFS('🎨 Creatives'!$B$4:$B$103,B84,'🎨 Creatives'!$E$4:$E$103,"&lt;&gt;")</f>
        <v/>
      </c>
      <c r="S84" s="11" t="n"/>
    </row>
    <row r="85" ht="22" customHeight="1">
      <c r="A85" s="13" t="n">
        <v>82</v>
      </c>
      <c r="B85" s="14">
        <f>IF(C85="","",IF(E85="",UPPER(SUBSTITUTE(LEFT(TRIM(C85),20)," ","-"))&amp;"-"&amp;TEXT(MONTH(TODAY()),"MMM")&amp;RIGHT(YEAR(TODAY()),2),UPPER(E85)&amp;"-"&amp;UPPER(SUBSTITUTE(LEFT(TRIM(C85),15)," ","-"))&amp;"-"&amp;TEXT(MONTH(TODAY()),"MMM")&amp;RIGHT(YEAR(TODAY()),2)))</f>
        <v/>
      </c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6">
        <f>COUNTIFS('🎨 Creatives'!$B$4:$B$103,B85,'🎨 Creatives'!$E$4:$E$103,"&lt;&gt;")</f>
        <v/>
      </c>
      <c r="S85" s="15" t="n"/>
    </row>
    <row r="86" ht="22" customHeight="1">
      <c r="A86" s="9" t="n">
        <v>83</v>
      </c>
      <c r="B86" s="10">
        <f>IF(C86="","",IF(E86="",UPPER(SUBSTITUTE(LEFT(TRIM(C86),20)," ","-"))&amp;"-"&amp;TEXT(MONTH(TODAY()),"MMM")&amp;RIGHT(YEAR(TODAY()),2),UPPER(E86)&amp;"-"&amp;UPPER(SUBSTITUTE(LEFT(TRIM(C86),15)," ","-"))&amp;"-"&amp;TEXT(MONTH(TODAY()),"MMM")&amp;RIGHT(YEAR(TODAY()),2)))</f>
        <v/>
      </c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2">
        <f>COUNTIFS('🎨 Creatives'!$B$4:$B$103,B86,'🎨 Creatives'!$E$4:$E$103,"&lt;&gt;")</f>
        <v/>
      </c>
      <c r="S86" s="11" t="n"/>
    </row>
    <row r="87" ht="22" customHeight="1">
      <c r="A87" s="13" t="n">
        <v>84</v>
      </c>
      <c r="B87" s="14">
        <f>IF(C87="","",IF(E87="",UPPER(SUBSTITUTE(LEFT(TRIM(C87),20)," ","-"))&amp;"-"&amp;TEXT(MONTH(TODAY()),"MMM")&amp;RIGHT(YEAR(TODAY()),2),UPPER(E87)&amp;"-"&amp;UPPER(SUBSTITUTE(LEFT(TRIM(C87),15)," ","-"))&amp;"-"&amp;TEXT(MONTH(TODAY()),"MMM")&amp;RIGHT(YEAR(TODAY()),2)))</f>
        <v/>
      </c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6">
        <f>COUNTIFS('🎨 Creatives'!$B$4:$B$103,B87,'🎨 Creatives'!$E$4:$E$103,"&lt;&gt;")</f>
        <v/>
      </c>
      <c r="S87" s="15" t="n"/>
    </row>
    <row r="88" ht="22" customHeight="1">
      <c r="A88" s="9" t="n">
        <v>85</v>
      </c>
      <c r="B88" s="10">
        <f>IF(C88="","",IF(E88="",UPPER(SUBSTITUTE(LEFT(TRIM(C88),20)," ","-"))&amp;"-"&amp;TEXT(MONTH(TODAY()),"MMM")&amp;RIGHT(YEAR(TODAY()),2),UPPER(E88)&amp;"-"&amp;UPPER(SUBSTITUTE(LEFT(TRIM(C88),15)," ","-"))&amp;"-"&amp;TEXT(MONTH(TODAY()),"MMM")&amp;RIGHT(YEAR(TODAY()),2)))</f>
        <v/>
      </c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2">
        <f>COUNTIFS('🎨 Creatives'!$B$4:$B$103,B88,'🎨 Creatives'!$E$4:$E$103,"&lt;&gt;")</f>
        <v/>
      </c>
      <c r="S88" s="11" t="n"/>
    </row>
    <row r="89" ht="22" customHeight="1">
      <c r="A89" s="13" t="n">
        <v>86</v>
      </c>
      <c r="B89" s="14">
        <f>IF(C89="","",IF(E89="",UPPER(SUBSTITUTE(LEFT(TRIM(C89),20)," ","-"))&amp;"-"&amp;TEXT(MONTH(TODAY()),"MMM")&amp;RIGHT(YEAR(TODAY()),2),UPPER(E89)&amp;"-"&amp;UPPER(SUBSTITUTE(LEFT(TRIM(C89),15)," ","-"))&amp;"-"&amp;TEXT(MONTH(TODAY()),"MMM")&amp;RIGHT(YEAR(TODAY()),2)))</f>
        <v/>
      </c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6">
        <f>COUNTIFS('🎨 Creatives'!$B$4:$B$103,B89,'🎨 Creatives'!$E$4:$E$103,"&lt;&gt;")</f>
        <v/>
      </c>
      <c r="S89" s="15" t="n"/>
    </row>
    <row r="90" ht="22" customHeight="1">
      <c r="A90" s="9" t="n">
        <v>87</v>
      </c>
      <c r="B90" s="10">
        <f>IF(C90="","",IF(E90="",UPPER(SUBSTITUTE(LEFT(TRIM(C90),20)," ","-"))&amp;"-"&amp;TEXT(MONTH(TODAY()),"MMM")&amp;RIGHT(YEAR(TODAY()),2),UPPER(E90)&amp;"-"&amp;UPPER(SUBSTITUTE(LEFT(TRIM(C90),15)," ","-"))&amp;"-"&amp;TEXT(MONTH(TODAY()),"MMM")&amp;RIGHT(YEAR(TODAY()),2)))</f>
        <v/>
      </c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2">
        <f>COUNTIFS('🎨 Creatives'!$B$4:$B$103,B90,'🎨 Creatives'!$E$4:$E$103,"&lt;&gt;")</f>
        <v/>
      </c>
      <c r="S90" s="11" t="n"/>
    </row>
    <row r="91" ht="22" customHeight="1">
      <c r="A91" s="13" t="n">
        <v>88</v>
      </c>
      <c r="B91" s="14">
        <f>IF(C91="","",IF(E91="",UPPER(SUBSTITUTE(LEFT(TRIM(C91),20)," ","-"))&amp;"-"&amp;TEXT(MONTH(TODAY()),"MMM")&amp;RIGHT(YEAR(TODAY()),2),UPPER(E91)&amp;"-"&amp;UPPER(SUBSTITUTE(LEFT(TRIM(C91),15)," ","-"))&amp;"-"&amp;TEXT(MONTH(TODAY()),"MMM")&amp;RIGHT(YEAR(TODAY()),2)))</f>
        <v/>
      </c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6">
        <f>COUNTIFS('🎨 Creatives'!$B$4:$B$103,B91,'🎨 Creatives'!$E$4:$E$103,"&lt;&gt;")</f>
        <v/>
      </c>
      <c r="S91" s="15" t="n"/>
    </row>
    <row r="92" ht="22" customHeight="1">
      <c r="A92" s="9" t="n">
        <v>89</v>
      </c>
      <c r="B92" s="10">
        <f>IF(C92="","",IF(E92="",UPPER(SUBSTITUTE(LEFT(TRIM(C92),20)," ","-"))&amp;"-"&amp;TEXT(MONTH(TODAY()),"MMM")&amp;RIGHT(YEAR(TODAY()),2),UPPER(E92)&amp;"-"&amp;UPPER(SUBSTITUTE(LEFT(TRIM(C92),15)," ","-"))&amp;"-"&amp;TEXT(MONTH(TODAY()),"MMM")&amp;RIGHT(YEAR(TODAY()),2)))</f>
        <v/>
      </c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2">
        <f>COUNTIFS('🎨 Creatives'!$B$4:$B$103,B92,'🎨 Creatives'!$E$4:$E$103,"&lt;&gt;")</f>
        <v/>
      </c>
      <c r="S92" s="11" t="n"/>
    </row>
    <row r="93" ht="22" customHeight="1">
      <c r="A93" s="13" t="n">
        <v>90</v>
      </c>
      <c r="B93" s="14">
        <f>IF(C93="","",IF(E93="",UPPER(SUBSTITUTE(LEFT(TRIM(C93),20)," ","-"))&amp;"-"&amp;TEXT(MONTH(TODAY()),"MMM")&amp;RIGHT(YEAR(TODAY()),2),UPPER(E93)&amp;"-"&amp;UPPER(SUBSTITUTE(LEFT(TRIM(C93),15)," ","-"))&amp;"-"&amp;TEXT(MONTH(TODAY()),"MMM")&amp;RIGHT(YEAR(TODAY()),2)))</f>
        <v/>
      </c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6">
        <f>COUNTIFS('🎨 Creatives'!$B$4:$B$103,B93,'🎨 Creatives'!$E$4:$E$103,"&lt;&gt;")</f>
        <v/>
      </c>
      <c r="S93" s="15" t="n"/>
    </row>
    <row r="94" ht="22" customHeight="1">
      <c r="A94" s="9" t="n">
        <v>91</v>
      </c>
      <c r="B94" s="10">
        <f>IF(C94="","",IF(E94="",UPPER(SUBSTITUTE(LEFT(TRIM(C94),20)," ","-"))&amp;"-"&amp;TEXT(MONTH(TODAY()),"MMM")&amp;RIGHT(YEAR(TODAY()),2),UPPER(E94)&amp;"-"&amp;UPPER(SUBSTITUTE(LEFT(TRIM(C94),15)," ","-"))&amp;"-"&amp;TEXT(MONTH(TODAY()),"MMM")&amp;RIGHT(YEAR(TODAY()),2)))</f>
        <v/>
      </c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2">
        <f>COUNTIFS('🎨 Creatives'!$B$4:$B$103,B94,'🎨 Creatives'!$E$4:$E$103,"&lt;&gt;")</f>
        <v/>
      </c>
      <c r="S94" s="11" t="n"/>
    </row>
    <row r="95" ht="22" customHeight="1">
      <c r="A95" s="13" t="n">
        <v>92</v>
      </c>
      <c r="B95" s="14">
        <f>IF(C95="","",IF(E95="",UPPER(SUBSTITUTE(LEFT(TRIM(C95),20)," ","-"))&amp;"-"&amp;TEXT(MONTH(TODAY()),"MMM")&amp;RIGHT(YEAR(TODAY()),2),UPPER(E95)&amp;"-"&amp;UPPER(SUBSTITUTE(LEFT(TRIM(C95),15)," ","-"))&amp;"-"&amp;TEXT(MONTH(TODAY()),"MMM")&amp;RIGHT(YEAR(TODAY()),2)))</f>
        <v/>
      </c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6">
        <f>COUNTIFS('🎨 Creatives'!$B$4:$B$103,B95,'🎨 Creatives'!$E$4:$E$103,"&lt;&gt;")</f>
        <v/>
      </c>
      <c r="S95" s="15" t="n"/>
    </row>
    <row r="96" ht="22" customHeight="1">
      <c r="A96" s="9" t="n">
        <v>93</v>
      </c>
      <c r="B96" s="10">
        <f>IF(C96="","",IF(E96="",UPPER(SUBSTITUTE(LEFT(TRIM(C96),20)," ","-"))&amp;"-"&amp;TEXT(MONTH(TODAY()),"MMM")&amp;RIGHT(YEAR(TODAY()),2),UPPER(E96)&amp;"-"&amp;UPPER(SUBSTITUTE(LEFT(TRIM(C96),15)," ","-"))&amp;"-"&amp;TEXT(MONTH(TODAY()),"MMM")&amp;RIGHT(YEAR(TODAY()),2)))</f>
        <v/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2">
        <f>COUNTIFS('🎨 Creatives'!$B$4:$B$103,B96,'🎨 Creatives'!$E$4:$E$103,"&lt;&gt;")</f>
        <v/>
      </c>
      <c r="S96" s="11" t="n"/>
    </row>
    <row r="97" ht="22" customHeight="1">
      <c r="A97" s="13" t="n">
        <v>94</v>
      </c>
      <c r="B97" s="14">
        <f>IF(C97="","",IF(E97="",UPPER(SUBSTITUTE(LEFT(TRIM(C97),20)," ","-"))&amp;"-"&amp;TEXT(MONTH(TODAY()),"MMM")&amp;RIGHT(YEAR(TODAY()),2),UPPER(E97)&amp;"-"&amp;UPPER(SUBSTITUTE(LEFT(TRIM(C97),15)," ","-"))&amp;"-"&amp;TEXT(MONTH(TODAY()),"MMM")&amp;RIGHT(YEAR(TODAY()),2)))</f>
        <v/>
      </c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6">
        <f>COUNTIFS('🎨 Creatives'!$B$4:$B$103,B97,'🎨 Creatives'!$E$4:$E$103,"&lt;&gt;")</f>
        <v/>
      </c>
      <c r="S97" s="15" t="n"/>
    </row>
    <row r="98" ht="22" customHeight="1">
      <c r="A98" s="9" t="n">
        <v>95</v>
      </c>
      <c r="B98" s="10">
        <f>IF(C98="","",IF(E98="",UPPER(SUBSTITUTE(LEFT(TRIM(C98),20)," ","-"))&amp;"-"&amp;TEXT(MONTH(TODAY()),"MMM")&amp;RIGHT(YEAR(TODAY()),2),UPPER(E98)&amp;"-"&amp;UPPER(SUBSTITUTE(LEFT(TRIM(C98),15)," ","-"))&amp;"-"&amp;TEXT(MONTH(TODAY()),"MMM")&amp;RIGHT(YEAR(TODAY()),2)))</f>
        <v/>
      </c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2">
        <f>COUNTIFS('🎨 Creatives'!$B$4:$B$103,B98,'🎨 Creatives'!$E$4:$E$103,"&lt;&gt;")</f>
        <v/>
      </c>
      <c r="S98" s="11" t="n"/>
    </row>
    <row r="99" ht="22" customHeight="1">
      <c r="A99" s="13" t="n">
        <v>96</v>
      </c>
      <c r="B99" s="14">
        <f>IF(C99="","",IF(E99="",UPPER(SUBSTITUTE(LEFT(TRIM(C99),20)," ","-"))&amp;"-"&amp;TEXT(MONTH(TODAY()),"MMM")&amp;RIGHT(YEAR(TODAY()),2),UPPER(E99)&amp;"-"&amp;UPPER(SUBSTITUTE(LEFT(TRIM(C99),15)," ","-"))&amp;"-"&amp;TEXT(MONTH(TODAY()),"MMM")&amp;RIGHT(YEAR(TODAY()),2)))</f>
        <v/>
      </c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6">
        <f>COUNTIFS('🎨 Creatives'!$B$4:$B$103,B99,'🎨 Creatives'!$E$4:$E$103,"&lt;&gt;")</f>
        <v/>
      </c>
      <c r="S99" s="15" t="n"/>
    </row>
    <row r="100" ht="22" customHeight="1">
      <c r="A100" s="9" t="n">
        <v>97</v>
      </c>
      <c r="B100" s="10">
        <f>IF(C100="","",IF(E100="",UPPER(SUBSTITUTE(LEFT(TRIM(C100),20)," ","-"))&amp;"-"&amp;TEXT(MONTH(TODAY()),"MMM")&amp;RIGHT(YEAR(TODAY()),2),UPPER(E100)&amp;"-"&amp;UPPER(SUBSTITUTE(LEFT(TRIM(C100),15)," ","-"))&amp;"-"&amp;TEXT(MONTH(TODAY()),"MMM")&amp;RIGHT(YEAR(TODAY()),2)))</f>
        <v/>
      </c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2">
        <f>COUNTIFS('🎨 Creatives'!$B$4:$B$103,B100,'🎨 Creatives'!$E$4:$E$103,"&lt;&gt;")</f>
        <v/>
      </c>
      <c r="S100" s="11" t="n"/>
    </row>
    <row r="101" ht="22" customHeight="1">
      <c r="A101" s="13" t="n">
        <v>98</v>
      </c>
      <c r="B101" s="14">
        <f>IF(C101="","",IF(E101="",UPPER(SUBSTITUTE(LEFT(TRIM(C101),20)," ","-"))&amp;"-"&amp;TEXT(MONTH(TODAY()),"MMM")&amp;RIGHT(YEAR(TODAY()),2),UPPER(E101)&amp;"-"&amp;UPPER(SUBSTITUTE(LEFT(TRIM(C101),15)," ","-"))&amp;"-"&amp;TEXT(MONTH(TODAY()),"MMM")&amp;RIGHT(YEAR(TODAY()),2)))</f>
        <v/>
      </c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6">
        <f>COUNTIFS('🎨 Creatives'!$B$4:$B$103,B101,'🎨 Creatives'!$E$4:$E$103,"&lt;&gt;")</f>
        <v/>
      </c>
      <c r="S101" s="15" t="n"/>
    </row>
    <row r="102" ht="22" customHeight="1">
      <c r="A102" s="9" t="n">
        <v>99</v>
      </c>
      <c r="B102" s="10">
        <f>IF(C102="","",IF(E102="",UPPER(SUBSTITUTE(LEFT(TRIM(C102),20)," ","-"))&amp;"-"&amp;TEXT(MONTH(TODAY()),"MMM")&amp;RIGHT(YEAR(TODAY()),2),UPPER(E102)&amp;"-"&amp;UPPER(SUBSTITUTE(LEFT(TRIM(C102),15)," ","-"))&amp;"-"&amp;TEXT(MONTH(TODAY()),"MMM")&amp;RIGHT(YEAR(TODAY()),2)))</f>
        <v/>
      </c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2">
        <f>COUNTIFS('🎨 Creatives'!$B$4:$B$103,B102,'🎨 Creatives'!$E$4:$E$103,"&lt;&gt;")</f>
        <v/>
      </c>
      <c r="S102" s="11" t="n"/>
    </row>
    <row r="103" ht="22" customHeight="1">
      <c r="A103" s="13" t="n">
        <v>100</v>
      </c>
      <c r="B103" s="14">
        <f>IF(C103="","",IF(E103="",UPPER(SUBSTITUTE(LEFT(TRIM(C103),20)," ","-"))&amp;"-"&amp;TEXT(MONTH(TODAY()),"MMM")&amp;RIGHT(YEAR(TODAY()),2),UPPER(E103)&amp;"-"&amp;UPPER(SUBSTITUTE(LEFT(TRIM(C103),15)," ","-"))&amp;"-"&amp;TEXT(MONTH(TODAY()),"MMM")&amp;RIGHT(YEAR(TODAY()),2)))</f>
        <v/>
      </c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6">
        <f>COUNTIFS('🎨 Creatives'!$B$4:$B$103,B103,'🎨 Creatives'!$E$4:$E$103,"&lt;&gt;")</f>
        <v/>
      </c>
      <c r="S103" s="15" t="n"/>
    </row>
  </sheetData>
  <mergeCells count="2">
    <mergeCell ref="A2:S2"/>
    <mergeCell ref="A1:S1"/>
  </mergeCells>
  <conditionalFormatting sqref="O4:O103">
    <cfRule type="containsText" priority="1" operator="containsText" dxfId="0" text="Active">
      <formula>NOT(ISERROR(SEARCH("Active",O4)))</formula>
    </cfRule>
    <cfRule type="containsText" priority="2" operator="containsText" dxfId="0" text="Completed">
      <formula>NOT(ISERROR(SEARCH("Completed",O4)))</formula>
    </cfRule>
    <cfRule type="containsText" priority="3" operator="containsText" dxfId="0" text="Approved">
      <formula>NOT(ISERROR(SEARCH("Approved",O4)))</formula>
    </cfRule>
    <cfRule type="containsText" priority="4" operator="containsText" dxfId="0" text="Published">
      <formula>NOT(ISERROR(SEARCH("Published",O4)))</formula>
    </cfRule>
    <cfRule type="containsText" priority="5" operator="containsText" dxfId="0" text="Live">
      <formula>NOT(ISERROR(SEARCH("Live",O4)))</formula>
    </cfRule>
    <cfRule type="containsText" priority="6" operator="containsText" dxfId="1" text="Cancelled">
      <formula>NOT(ISERROR(SEARCH("Cancelled",O4)))</formula>
    </cfRule>
    <cfRule type="containsText" priority="7" operator="containsText" dxfId="1" text="Rejected">
      <formula>NOT(ISERROR(SEARCH("Rejected",O4)))</formula>
    </cfRule>
    <cfRule type="containsText" priority="8" operator="containsText" dxfId="2" text="On Hold">
      <formula>NOT(ISERROR(SEARCH("On Hold",O4)))</formula>
    </cfRule>
    <cfRule type="containsText" priority="9" operator="containsText" dxfId="2" text="Paused">
      <formula>NOT(ISERROR(SEARCH("Paused",O4)))</formula>
    </cfRule>
    <cfRule type="containsText" priority="10" operator="containsText" dxfId="2" text="Revision">
      <formula>NOT(ISERROR(SEARCH("Revision",O4)))</formula>
    </cfRule>
    <cfRule type="containsText" priority="11" operator="containsText" dxfId="2" text="Changes">
      <formula>NOT(ISERROR(SEARCH("Changes",O4)))</formula>
    </cfRule>
    <cfRule type="containsText" priority="12" operator="containsText" dxfId="3" text="Planning">
      <formula>NOT(ISERROR(SEARCH("Planning",O4)))</formula>
    </cfRule>
    <cfRule type="containsText" priority="13" operator="containsText" dxfId="3" text="Briefed">
      <formula>NOT(ISERROR(SEARCH("Briefed",O4)))</formula>
    </cfRule>
    <cfRule type="containsText" priority="14" operator="containsText" dxfId="4" text="Progress">
      <formula>NOT(ISERROR(SEARCH("Progress",O4)))</formula>
    </cfRule>
  </conditionalFormatting>
  <conditionalFormatting sqref="P4:P103">
    <cfRule type="containsText" priority="15" operator="containsText" dxfId="0" text="Approved">
      <formula>NOT(ISERROR(SEARCH("Approved",P4)))</formula>
    </cfRule>
    <cfRule type="containsText" priority="16" operator="containsText" dxfId="1" text="Rejected">
      <formula>NOT(ISERROR(SEARCH("Rejected",P4)))</formula>
    </cfRule>
    <cfRule type="containsText" priority="17" operator="containsText" dxfId="2" text="Changes">
      <formula>NOT(ISERROR(SEARCH("Changes",P4)))</formula>
    </cfRule>
    <cfRule type="containsText" priority="18" operator="containsText" dxfId="3" text="Pending">
      <formula>NOT(ISERROR(SEARCH("Pending",P4)))</formula>
    </cfRule>
  </conditionalFormatting>
  <conditionalFormatting sqref="Q4:Q103">
    <cfRule type="containsText" priority="19" operator="containsText" dxfId="0" text="Approved">
      <formula>NOT(ISERROR(SEARCH("Approved",Q4)))</formula>
    </cfRule>
    <cfRule type="containsText" priority="20" operator="containsText" dxfId="1" text="Rejected">
      <formula>NOT(ISERROR(SEARCH("Rejected",Q4)))</formula>
    </cfRule>
    <cfRule type="containsText" priority="21" operator="containsText" dxfId="2" text="Changes">
      <formula>NOT(ISERROR(SEARCH("Changes",Q4)))</formula>
    </cfRule>
    <cfRule type="containsText" priority="22" operator="containsText" dxfId="3" text="Pending">
      <formula>NOT(ISERROR(SEARCH("Pending",Q4)))</formula>
    </cfRule>
  </conditionalFormatting>
  <conditionalFormatting sqref="M4:M103">
    <cfRule type="containsText" priority="23" operator="containsText" dxfId="1" text="Critical">
      <formula>NOT(ISERROR(SEARCH("Critical",M4)))</formula>
    </cfRule>
    <cfRule type="containsText" priority="24" operator="containsText" dxfId="2" text="High">
      <formula>NOT(ISERROR(SEARCH("High",M4)))</formula>
    </cfRule>
    <cfRule type="containsText" priority="25" operator="containsText" dxfId="4" text="Medium">
      <formula>NOT(ISERROR(SEARCH("Medium",M4)))</formula>
    </cfRule>
    <cfRule type="containsText" priority="26" operator="containsText" dxfId="0" text="Low">
      <formula>NOT(ISERROR(SEARCH("Low",M4)))</formula>
    </cfRule>
  </conditionalFormatting>
  <dataValidations count="11">
    <dataValidation sqref="D4:D103" showDropDown="0" showInputMessage="1" showErrorMessage="1" allowBlank="1" errorTitle="Invalid" error="Select from the dropdown." promptTitle="Vertical" prompt="Select the business vertical." type="list">
      <formula1>"Digital Transformation,Industrial Goods &amp; Consumer Products,Structural Engineering,MedTech,Energy &amp; Utilities,Sustainability,BFSI,Product Innovation,SolidPro AI,Other"</formula1>
    </dataValidation>
    <dataValidation sqref="E4:E103" showDropDown="0" showInputMessage="1" showErrorMessage="1" allowBlank="1" errorTitle="Invalid" error="Select from the dropdown." promptTitle="Goal Code" prompt="LG=Lead Gen  BD=Brand/Demand  TL=Thought Leadership&#10;EV=Event  NR=Nurture  PL=Product Launch  AB=ABM  RE=Re-engage" type="list">
      <formula1>"LG,BD,TL,EV,NR,PL,AB,RE"</formula1>
    </dataValidation>
    <dataValidation sqref="F4:F103" showDropDown="0" showInputMessage="1" showErrorMessage="1" allowBlank="1" errorTitle="Invalid" error="Select from the dropdown." promptTitle="Campaign Type" prompt="Select type." type="list">
      <formula1>"Brand Awareness,Lead Generation,Demand Generation,Product Launch,Event Promotion,Thought Leadership,Nurture / Retention,ABM,Other"</formula1>
    </dataValidation>
    <dataValidation sqref="G4:G103" showDropDown="0" showInputMessage="1" showErrorMessage="1" allowBlank="1" errorTitle="Invalid" error="Select from the dropdown." promptTitle="Campaign Goal" prompt="Primary conversion goal." type="list">
      <formula1>"Lead Capture,Demo Request,Content Download,Event Registration,Product Enquiry,Newsletter Signup,Brand Recall,Pipeline Generation,Other"</formula1>
    </dataValidation>
    <dataValidation sqref="M4:M103" showDropDown="0" showInputMessage="1" showErrorMessage="1" allowBlank="1" errorTitle="Invalid" error="Select from the dropdown." promptTitle="Priority" prompt="Urgency level." type="list">
      <formula1>"🔴 Critical,🟠 High,🟡 Medium,🟢 Low"</formula1>
    </dataValidation>
    <dataValidation sqref="O4:O103" showDropDown="0" showInputMessage="1" showErrorMessage="1" allowBlank="1" errorTitle="Invalid" error="Select from the dropdown." promptTitle="Status" prompt="Current campaign status." type="list">
      <formula1>"🗓 Planning,🚀 Active,✅ Completed,⏸ Paused,❌ Cancelled"</formula1>
    </dataValidation>
    <dataValidation sqref="P4:P103" showDropDown="0" showInputMessage="1" showErrorMessage="1" allowBlank="1" errorTitle="Invalid" error="Select from the dropdown." promptTitle="PH Approval" prompt="Approval from Project Head." type="list">
      <formula1>"⏳ Pending,✅ Approved,🔁 Changes Requested,❌ Rejected"</formula1>
    </dataValidation>
    <dataValidation sqref="Q4:Q103" showDropDown="0" showInputMessage="1" showErrorMessage="1" allowBlank="1" errorTitle="Invalid" error="Select from the dropdown." promptTitle="Mgr Approval" prompt="Approval from Manager." type="list">
      <formula1>"⏳ Pending,✅ Approved,🔁 Changes Requested,❌ Rejected"</formula1>
    </dataValidation>
    <dataValidation sqref="J4:J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K4:K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L4:L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2" customWidth="1" min="4" max="4"/>
    <col width="32" customWidth="1" min="5" max="5"/>
    <col width="20" customWidth="1" min="6" max="6"/>
    <col width="18" customWidth="1" min="7" max="7"/>
    <col width="16" customWidth="1" min="8" max="8"/>
    <col width="18" customWidth="1" min="9" max="9"/>
    <col width="36" customWidth="1" min="10" max="10"/>
    <col width="24" customWidth="1" min="11" max="11"/>
    <col width="22" customWidth="1" min="12" max="12"/>
    <col width="20" customWidth="1" min="13" max="13"/>
    <col width="14" customWidth="1" min="14" max="14"/>
    <col width="14" customWidth="1" min="15" max="15"/>
    <col width="14" customWidth="1" min="16" max="16"/>
    <col width="13" customWidth="1" min="17" max="17"/>
    <col width="26" customWidth="1" min="18" max="18"/>
    <col width="26" customWidth="1" min="19" max="19"/>
    <col width="22" customWidth="1" min="20" max="20"/>
    <col width="30" customWidth="1" min="21" max="21"/>
    <col width="12" customWidth="1" min="22" max="22"/>
    <col width="36" customWidth="1" min="23" max="23"/>
    <col width="12" customWidth="1" min="24" max="24"/>
  </cols>
  <sheetData>
    <row r="1" ht="36" customHeight="1">
      <c r="A1" s="17" t="inlineStr">
        <is>
          <t>SolidPro — Creatives Tracker (Graphic Design &amp; Video)  |  FILE 1 of 2</t>
        </is>
      </c>
    </row>
    <row r="2" ht="16" customHeight="1">
      <c r="A2" s="2" t="inlineStr">
        <is>
          <t>Asset ID auto-generated from Campaign ID  |  Asset naming: CAMPID-GD-001 / CAMPID-VD-001  |  * = Mandatory</t>
        </is>
      </c>
    </row>
    <row r="3" ht="32" customHeight="1">
      <c r="A3" s="18" t="inlineStr">
        <is>
          <t>S.No</t>
        </is>
      </c>
      <c r="B3" s="18" t="inlineStr">
        <is>
          <t>Campaign ID *</t>
        </is>
      </c>
      <c r="C3" s="18" t="inlineStr">
        <is>
          <t>Asset ID</t>
        </is>
      </c>
      <c r="D3" s="18" t="inlineStr">
        <is>
          <t>Vertical *</t>
        </is>
      </c>
      <c r="E3" s="18" t="inlineStr">
        <is>
          <t>Asset Name / Title *</t>
        </is>
      </c>
      <c r="F3" s="18" t="inlineStr">
        <is>
          <t>Content Type</t>
        </is>
      </c>
      <c r="G3" s="18" t="inlineStr">
        <is>
          <t>Asset Type</t>
        </is>
      </c>
      <c r="H3" s="18" t="inlineStr">
        <is>
          <t>Format / Size</t>
        </is>
      </c>
      <c r="I3" s="18" t="inlineStr">
        <is>
          <t>Platform</t>
        </is>
      </c>
      <c r="J3" s="18" t="inlineStr">
        <is>
          <t>Brief / Description</t>
        </is>
      </c>
      <c r="K3" s="18" t="inlineStr">
        <is>
          <t>Owner (Designer/Video) *</t>
        </is>
      </c>
      <c r="L3" s="18" t="inlineStr">
        <is>
          <t>Support (Copywriter)</t>
        </is>
      </c>
      <c r="M3" s="18" t="inlineStr">
        <is>
          <t>Requested By</t>
        </is>
      </c>
      <c r="N3" s="18" t="inlineStr">
        <is>
          <t>Brief Date</t>
        </is>
      </c>
      <c r="O3" s="18" t="inlineStr">
        <is>
          <t>Due Date *</t>
        </is>
      </c>
      <c r="P3" s="18" t="inlineStr">
        <is>
          <t>Post Date *</t>
        </is>
      </c>
      <c r="Q3" s="18" t="inlineStr">
        <is>
          <t>Priority</t>
        </is>
      </c>
      <c r="R3" s="18" t="inlineStr">
        <is>
          <t>Status</t>
        </is>
      </c>
      <c r="S3" s="18" t="inlineStr">
        <is>
          <t>Approved by Project Head</t>
        </is>
      </c>
      <c r="T3" s="18" t="inlineStr">
        <is>
          <t>Approved by Manager</t>
        </is>
      </c>
      <c r="U3" s="18" t="inlineStr">
        <is>
          <t>Final File Link</t>
        </is>
      </c>
      <c r="V3" s="18" t="inlineStr">
        <is>
          <t>Revision #</t>
        </is>
      </c>
      <c r="W3" s="18" t="inlineStr">
        <is>
          <t>Feedback / Notes</t>
        </is>
      </c>
      <c r="X3" s="18" t="inlineStr">
        <is>
          <t>Archived?</t>
        </is>
      </c>
    </row>
    <row r="4" ht="22" customHeight="1">
      <c r="A4" s="9" t="n">
        <v>1</v>
      </c>
      <c r="B4" s="11" t="n"/>
      <c r="C4" s="19">
        <f>IF(B4="","",IF(G4="",B4&amp;"-AST-"&amp;TEXT(1,"000"),B4&amp;"-"&amp;IF(G4="Graphic Design","GD",IF(G4="Video","VD",IF(G4="Motion Graphic","MG","AST")))&amp;"-"&amp;TEXT(1,"000")))</f>
        <v/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 ht="22" customHeight="1">
      <c r="A5" s="13" t="n">
        <v>2</v>
      </c>
      <c r="B5" s="15" t="n"/>
      <c r="C5" s="20">
        <f>IF(B5="","",IF(G5="",B5&amp;"-AST-"&amp;TEXT(2,"000"),B5&amp;"-"&amp;IF(G5="Graphic Design","GD",IF(G5="Video","VD",IF(G5="Motion Graphic","MG","AST")))&amp;"-"&amp;TEXT(2,"000")))</f>
        <v/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</row>
    <row r="6" ht="22" customHeight="1">
      <c r="A6" s="9" t="n">
        <v>3</v>
      </c>
      <c r="B6" s="11" t="n"/>
      <c r="C6" s="19">
        <f>IF(B6="","",IF(G6="",B6&amp;"-AST-"&amp;TEXT(3,"000"),B6&amp;"-"&amp;IF(G6="Graphic Design","GD",IF(G6="Video","VD",IF(G6="Motion Graphic","MG","AST")))&amp;"-"&amp;TEXT(3,"000")))</f>
        <v/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</row>
    <row r="7" ht="22" customHeight="1">
      <c r="A7" s="13" t="n">
        <v>4</v>
      </c>
      <c r="B7" s="15" t="n"/>
      <c r="C7" s="20">
        <f>IF(B7="","",IF(G7="",B7&amp;"-AST-"&amp;TEXT(4,"000"),B7&amp;"-"&amp;IF(G7="Graphic Design","GD",IF(G7="Video","VD",IF(G7="Motion Graphic","MG","AST")))&amp;"-"&amp;TEXT(4,"000")))</f>
        <v/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</row>
    <row r="8" ht="22" customHeight="1">
      <c r="A8" s="9" t="n">
        <v>5</v>
      </c>
      <c r="B8" s="11" t="n"/>
      <c r="C8" s="19">
        <f>IF(B8="","",IF(G8="",B8&amp;"-AST-"&amp;TEXT(5,"000"),B8&amp;"-"&amp;IF(G8="Graphic Design","GD",IF(G8="Video","VD",IF(G8="Motion Graphic","MG","AST")))&amp;"-"&amp;TEXT(5,"000")))</f>
        <v/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</row>
    <row r="9" ht="22" customHeight="1">
      <c r="A9" s="13" t="n">
        <v>6</v>
      </c>
      <c r="B9" s="15" t="n"/>
      <c r="C9" s="20">
        <f>IF(B9="","",IF(G9="",B9&amp;"-AST-"&amp;TEXT(6,"000"),B9&amp;"-"&amp;IF(G9="Graphic Design","GD",IF(G9="Video","VD",IF(G9="Motion Graphic","MG","AST")))&amp;"-"&amp;TEXT(6,"000")))</f>
        <v/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 ht="22" customHeight="1">
      <c r="A10" s="9" t="n">
        <v>7</v>
      </c>
      <c r="B10" s="11" t="n"/>
      <c r="C10" s="19">
        <f>IF(B10="","",IF(G10="",B10&amp;"-AST-"&amp;TEXT(7,"000"),B10&amp;"-"&amp;IF(G10="Graphic Design","GD",IF(G10="Video","VD",IF(G10="Motion Graphic","MG","AST")))&amp;"-"&amp;TEXT(7,"000")))</f>
        <v/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 ht="22" customHeight="1">
      <c r="A11" s="13" t="n">
        <v>8</v>
      </c>
      <c r="B11" s="15" t="n"/>
      <c r="C11" s="20">
        <f>IF(B11="","",IF(G11="",B11&amp;"-AST-"&amp;TEXT(8,"000"),B11&amp;"-"&amp;IF(G11="Graphic Design","GD",IF(G11="Video","VD",IF(G11="Motion Graphic","MG","AST")))&amp;"-"&amp;TEXT(8,"000")))</f>
        <v/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</row>
    <row r="12" ht="22" customHeight="1">
      <c r="A12" s="9" t="n">
        <v>9</v>
      </c>
      <c r="B12" s="11" t="n"/>
      <c r="C12" s="19">
        <f>IF(B12="","",IF(G12="",B12&amp;"-AST-"&amp;TEXT(9,"000"),B12&amp;"-"&amp;IF(G12="Graphic Design","GD",IF(G12="Video","VD",IF(G12="Motion Graphic","MG","AST")))&amp;"-"&amp;TEXT(9,"000")))</f>
        <v/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 ht="22" customHeight="1">
      <c r="A13" s="13" t="n">
        <v>10</v>
      </c>
      <c r="B13" s="15" t="n"/>
      <c r="C13" s="20">
        <f>IF(B13="","",IF(G13="",B13&amp;"-AST-"&amp;TEXT(10,"000"),B13&amp;"-"&amp;IF(G13="Graphic Design","GD",IF(G13="Video","VD",IF(G13="Motion Graphic","MG","AST")))&amp;"-"&amp;TEXT(10,"000")))</f>
        <v/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</row>
    <row r="14" ht="22" customHeight="1">
      <c r="A14" s="9" t="n">
        <v>11</v>
      </c>
      <c r="B14" s="11" t="n"/>
      <c r="C14" s="19">
        <f>IF(B14="","",IF(G14="",B14&amp;"-AST-"&amp;TEXT(11,"000"),B14&amp;"-"&amp;IF(G14="Graphic Design","GD",IF(G14="Video","VD",IF(G14="Motion Graphic","MG","AST")))&amp;"-"&amp;TEXT(11,"000")))</f>
        <v/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 ht="22" customHeight="1">
      <c r="A15" s="13" t="n">
        <v>12</v>
      </c>
      <c r="B15" s="15" t="n"/>
      <c r="C15" s="20">
        <f>IF(B15="","",IF(G15="",B15&amp;"-AST-"&amp;TEXT(12,"000"),B15&amp;"-"&amp;IF(G15="Graphic Design","GD",IF(G15="Video","VD",IF(G15="Motion Graphic","MG","AST")))&amp;"-"&amp;TEXT(12,"000")))</f>
        <v/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</row>
    <row r="16" ht="22" customHeight="1">
      <c r="A16" s="9" t="n">
        <v>13</v>
      </c>
      <c r="B16" s="11" t="n"/>
      <c r="C16" s="19">
        <f>IF(B16="","",IF(G16="",B16&amp;"-AST-"&amp;TEXT(13,"000"),B16&amp;"-"&amp;IF(G16="Graphic Design","GD",IF(G16="Video","VD",IF(G16="Motion Graphic","MG","AST")))&amp;"-"&amp;TEXT(13,"000")))</f>
        <v/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 ht="22" customHeight="1">
      <c r="A17" s="13" t="n">
        <v>14</v>
      </c>
      <c r="B17" s="15" t="n"/>
      <c r="C17" s="20">
        <f>IF(B17="","",IF(G17="",B17&amp;"-AST-"&amp;TEXT(14,"000"),B17&amp;"-"&amp;IF(G17="Graphic Design","GD",IF(G17="Video","VD",IF(G17="Motion Graphic","MG","AST")))&amp;"-"&amp;TEXT(14,"000")))</f>
        <v/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</row>
    <row r="18" ht="22" customHeight="1">
      <c r="A18" s="9" t="n">
        <v>15</v>
      </c>
      <c r="B18" s="11" t="n"/>
      <c r="C18" s="19">
        <f>IF(B18="","",IF(G18="",B18&amp;"-AST-"&amp;TEXT(15,"000"),B18&amp;"-"&amp;IF(G18="Graphic Design","GD",IF(G18="Video","VD",IF(G18="Motion Graphic","MG","AST")))&amp;"-"&amp;TEXT(15,"000")))</f>
        <v/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 ht="22" customHeight="1">
      <c r="A19" s="13" t="n">
        <v>16</v>
      </c>
      <c r="B19" s="15" t="n"/>
      <c r="C19" s="20">
        <f>IF(B19="","",IF(G19="",B19&amp;"-AST-"&amp;TEXT(16,"000"),B19&amp;"-"&amp;IF(G19="Graphic Design","GD",IF(G19="Video","VD",IF(G19="Motion Graphic","MG","AST")))&amp;"-"&amp;TEXT(16,"000")))</f>
        <v/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</row>
    <row r="20" ht="22" customHeight="1">
      <c r="A20" s="9" t="n">
        <v>17</v>
      </c>
      <c r="B20" s="11" t="n"/>
      <c r="C20" s="19">
        <f>IF(B20="","",IF(G20="",B20&amp;"-AST-"&amp;TEXT(17,"000"),B20&amp;"-"&amp;IF(G20="Graphic Design","GD",IF(G20="Video","VD",IF(G20="Motion Graphic","MG","AST")))&amp;"-"&amp;TEXT(17,"000")))</f>
        <v/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 ht="22" customHeight="1">
      <c r="A21" s="13" t="n">
        <v>18</v>
      </c>
      <c r="B21" s="15" t="n"/>
      <c r="C21" s="20">
        <f>IF(B21="","",IF(G21="",B21&amp;"-AST-"&amp;TEXT(18,"000"),B21&amp;"-"&amp;IF(G21="Graphic Design","GD",IF(G21="Video","VD",IF(G21="Motion Graphic","MG","AST")))&amp;"-"&amp;TEXT(18,"000")))</f>
        <v/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</row>
    <row r="22" ht="22" customHeight="1">
      <c r="A22" s="9" t="n">
        <v>19</v>
      </c>
      <c r="B22" s="11" t="n"/>
      <c r="C22" s="19">
        <f>IF(B22="","",IF(G22="",B22&amp;"-AST-"&amp;TEXT(19,"000"),B22&amp;"-"&amp;IF(G22="Graphic Design","GD",IF(G22="Video","VD",IF(G22="Motion Graphic","MG","AST")))&amp;"-"&amp;TEXT(19,"000")))</f>
        <v/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 ht="22" customHeight="1">
      <c r="A23" s="13" t="n">
        <v>20</v>
      </c>
      <c r="B23" s="15" t="n"/>
      <c r="C23" s="20">
        <f>IF(B23="","",IF(G23="",B23&amp;"-AST-"&amp;TEXT(20,"000"),B23&amp;"-"&amp;IF(G23="Graphic Design","GD",IF(G23="Video","VD",IF(G23="Motion Graphic","MG","AST")))&amp;"-"&amp;TEXT(20,"000")))</f>
        <v/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</row>
    <row r="24" ht="22" customHeight="1">
      <c r="A24" s="9" t="n">
        <v>21</v>
      </c>
      <c r="B24" s="11" t="n"/>
      <c r="C24" s="19">
        <f>IF(B24="","",IF(G24="",B24&amp;"-AST-"&amp;TEXT(21,"000"),B24&amp;"-"&amp;IF(G24="Graphic Design","GD",IF(G24="Video","VD",IF(G24="Motion Graphic","MG","AST")))&amp;"-"&amp;TEXT(21,"000")))</f>
        <v/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 ht="22" customHeight="1">
      <c r="A25" s="13" t="n">
        <v>22</v>
      </c>
      <c r="B25" s="15" t="n"/>
      <c r="C25" s="20">
        <f>IF(B25="","",IF(G25="",B25&amp;"-AST-"&amp;TEXT(22,"000"),B25&amp;"-"&amp;IF(G25="Graphic Design","GD",IF(G25="Video","VD",IF(G25="Motion Graphic","MG","AST")))&amp;"-"&amp;TEXT(22,"000")))</f>
        <v/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</row>
    <row r="26" ht="22" customHeight="1">
      <c r="A26" s="9" t="n">
        <v>23</v>
      </c>
      <c r="B26" s="11" t="n"/>
      <c r="C26" s="19">
        <f>IF(B26="","",IF(G26="",B26&amp;"-AST-"&amp;TEXT(23,"000"),B26&amp;"-"&amp;IF(G26="Graphic Design","GD",IF(G26="Video","VD",IF(G26="Motion Graphic","MG","AST")))&amp;"-"&amp;TEXT(23,"000")))</f>
        <v/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 ht="22" customHeight="1">
      <c r="A27" s="13" t="n">
        <v>24</v>
      </c>
      <c r="B27" s="15" t="n"/>
      <c r="C27" s="20">
        <f>IF(B27="","",IF(G27="",B27&amp;"-AST-"&amp;TEXT(24,"000"),B27&amp;"-"&amp;IF(G27="Graphic Design","GD",IF(G27="Video","VD",IF(G27="Motion Graphic","MG","AST")))&amp;"-"&amp;TEXT(24,"000")))</f>
        <v/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</row>
    <row r="28" ht="22" customHeight="1">
      <c r="A28" s="9" t="n">
        <v>25</v>
      </c>
      <c r="B28" s="11" t="n"/>
      <c r="C28" s="19">
        <f>IF(B28="","",IF(G28="",B28&amp;"-AST-"&amp;TEXT(25,"000"),B28&amp;"-"&amp;IF(G28="Graphic Design","GD",IF(G28="Video","VD",IF(G28="Motion Graphic","MG","AST")))&amp;"-"&amp;TEXT(25,"000")))</f>
        <v/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 ht="22" customHeight="1">
      <c r="A29" s="13" t="n">
        <v>26</v>
      </c>
      <c r="B29" s="15" t="n"/>
      <c r="C29" s="20">
        <f>IF(B29="","",IF(G29="",B29&amp;"-AST-"&amp;TEXT(26,"000"),B29&amp;"-"&amp;IF(G29="Graphic Design","GD",IF(G29="Video","VD",IF(G29="Motion Graphic","MG","AST")))&amp;"-"&amp;TEXT(26,"000")))</f>
        <v/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</row>
    <row r="30" ht="22" customHeight="1">
      <c r="A30" s="9" t="n">
        <v>27</v>
      </c>
      <c r="B30" s="11" t="n"/>
      <c r="C30" s="19">
        <f>IF(B30="","",IF(G30="",B30&amp;"-AST-"&amp;TEXT(27,"000"),B30&amp;"-"&amp;IF(G30="Graphic Design","GD",IF(G30="Video","VD",IF(G30="Motion Graphic","MG","AST")))&amp;"-"&amp;TEXT(27,"000")))</f>
        <v/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 ht="22" customHeight="1">
      <c r="A31" s="13" t="n">
        <v>28</v>
      </c>
      <c r="B31" s="15" t="n"/>
      <c r="C31" s="20">
        <f>IF(B31="","",IF(G31="",B31&amp;"-AST-"&amp;TEXT(28,"000"),B31&amp;"-"&amp;IF(G31="Graphic Design","GD",IF(G31="Video","VD",IF(G31="Motion Graphic","MG","AST")))&amp;"-"&amp;TEXT(28,"000")))</f>
        <v/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</row>
    <row r="32" ht="22" customHeight="1">
      <c r="A32" s="9" t="n">
        <v>29</v>
      </c>
      <c r="B32" s="11" t="n"/>
      <c r="C32" s="19">
        <f>IF(B32="","",IF(G32="",B32&amp;"-AST-"&amp;TEXT(29,"000"),B32&amp;"-"&amp;IF(G32="Graphic Design","GD",IF(G32="Video","VD",IF(G32="Motion Graphic","MG","AST")))&amp;"-"&amp;TEXT(29,"000")))</f>
        <v/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 ht="22" customHeight="1">
      <c r="A33" s="13" t="n">
        <v>30</v>
      </c>
      <c r="B33" s="15" t="n"/>
      <c r="C33" s="20">
        <f>IF(B33="","",IF(G33="",B33&amp;"-AST-"&amp;TEXT(30,"000"),B33&amp;"-"&amp;IF(G33="Graphic Design","GD",IF(G33="Video","VD",IF(G33="Motion Graphic","MG","AST")))&amp;"-"&amp;TEXT(30,"000")))</f>
        <v/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</row>
    <row r="34" ht="22" customHeight="1">
      <c r="A34" s="9" t="n">
        <v>31</v>
      </c>
      <c r="B34" s="11" t="n"/>
      <c r="C34" s="19">
        <f>IF(B34="","",IF(G34="",B34&amp;"-AST-"&amp;TEXT(31,"000"),B34&amp;"-"&amp;IF(G34="Graphic Design","GD",IF(G34="Video","VD",IF(G34="Motion Graphic","MG","AST")))&amp;"-"&amp;TEXT(31,"000")))</f>
        <v/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 ht="22" customHeight="1">
      <c r="A35" s="13" t="n">
        <v>32</v>
      </c>
      <c r="B35" s="15" t="n"/>
      <c r="C35" s="20">
        <f>IF(B35="","",IF(G35="",B35&amp;"-AST-"&amp;TEXT(32,"000"),B35&amp;"-"&amp;IF(G35="Graphic Design","GD",IF(G35="Video","VD",IF(G35="Motion Graphic","MG","AST")))&amp;"-"&amp;TEXT(32,"000")))</f>
        <v/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</row>
    <row r="36" ht="22" customHeight="1">
      <c r="A36" s="9" t="n">
        <v>33</v>
      </c>
      <c r="B36" s="11" t="n"/>
      <c r="C36" s="19">
        <f>IF(B36="","",IF(G36="",B36&amp;"-AST-"&amp;TEXT(33,"000"),B36&amp;"-"&amp;IF(G36="Graphic Design","GD",IF(G36="Video","VD",IF(G36="Motion Graphic","MG","AST")))&amp;"-"&amp;TEXT(33,"000")))</f>
        <v/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22" customHeight="1">
      <c r="A37" s="13" t="n">
        <v>34</v>
      </c>
      <c r="B37" s="15" t="n"/>
      <c r="C37" s="20">
        <f>IF(B37="","",IF(G37="",B37&amp;"-AST-"&amp;TEXT(34,"000"),B37&amp;"-"&amp;IF(G37="Graphic Design","GD",IF(G37="Video","VD",IF(G37="Motion Graphic","MG","AST")))&amp;"-"&amp;TEXT(34,"000")))</f>
        <v/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</row>
    <row r="38" ht="22" customHeight="1">
      <c r="A38" s="9" t="n">
        <v>35</v>
      </c>
      <c r="B38" s="11" t="n"/>
      <c r="C38" s="19">
        <f>IF(B38="","",IF(G38="",B38&amp;"-AST-"&amp;TEXT(35,"000"),B38&amp;"-"&amp;IF(G38="Graphic Design","GD",IF(G38="Video","VD",IF(G38="Motion Graphic","MG","AST")))&amp;"-"&amp;TEXT(35,"000")))</f>
        <v/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22" customHeight="1">
      <c r="A39" s="13" t="n">
        <v>36</v>
      </c>
      <c r="B39" s="15" t="n"/>
      <c r="C39" s="20">
        <f>IF(B39="","",IF(G39="",B39&amp;"-AST-"&amp;TEXT(36,"000"),B39&amp;"-"&amp;IF(G39="Graphic Design","GD",IF(G39="Video","VD",IF(G39="Motion Graphic","MG","AST")))&amp;"-"&amp;TEXT(36,"000")))</f>
        <v/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</row>
    <row r="40" ht="22" customHeight="1">
      <c r="A40" s="9" t="n">
        <v>37</v>
      </c>
      <c r="B40" s="11" t="n"/>
      <c r="C40" s="19">
        <f>IF(B40="","",IF(G40="",B40&amp;"-AST-"&amp;TEXT(37,"000"),B40&amp;"-"&amp;IF(G40="Graphic Design","GD",IF(G40="Video","VD",IF(G40="Motion Graphic","MG","AST")))&amp;"-"&amp;TEXT(37,"000")))</f>
        <v/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22" customHeight="1">
      <c r="A41" s="13" t="n">
        <v>38</v>
      </c>
      <c r="B41" s="15" t="n"/>
      <c r="C41" s="20">
        <f>IF(B41="","",IF(G41="",B41&amp;"-AST-"&amp;TEXT(38,"000"),B41&amp;"-"&amp;IF(G41="Graphic Design","GD",IF(G41="Video","VD",IF(G41="Motion Graphic","MG","AST")))&amp;"-"&amp;TEXT(38,"000")))</f>
        <v/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</row>
    <row r="42" ht="22" customHeight="1">
      <c r="A42" s="9" t="n">
        <v>39</v>
      </c>
      <c r="B42" s="11" t="n"/>
      <c r="C42" s="19">
        <f>IF(B42="","",IF(G42="",B42&amp;"-AST-"&amp;TEXT(39,"000"),B42&amp;"-"&amp;IF(G42="Graphic Design","GD",IF(G42="Video","VD",IF(G42="Motion Graphic","MG","AST")))&amp;"-"&amp;TEXT(39,"000")))</f>
        <v/>
      </c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22" customHeight="1">
      <c r="A43" s="13" t="n">
        <v>40</v>
      </c>
      <c r="B43" s="15" t="n"/>
      <c r="C43" s="20">
        <f>IF(B43="","",IF(G43="",B43&amp;"-AST-"&amp;TEXT(40,"000"),B43&amp;"-"&amp;IF(G43="Graphic Design","GD",IF(G43="Video","VD",IF(G43="Motion Graphic","MG","AST")))&amp;"-"&amp;TEXT(40,"000")))</f>
        <v/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</row>
    <row r="44" ht="22" customHeight="1">
      <c r="A44" s="9" t="n">
        <v>41</v>
      </c>
      <c r="B44" s="11" t="n"/>
      <c r="C44" s="19">
        <f>IF(B44="","",IF(G44="",B44&amp;"-AST-"&amp;TEXT(41,"000"),B44&amp;"-"&amp;IF(G44="Graphic Design","GD",IF(G44="Video","VD",IF(G44="Motion Graphic","MG","AST")))&amp;"-"&amp;TEXT(41,"000")))</f>
        <v/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 ht="22" customHeight="1">
      <c r="A45" s="13" t="n">
        <v>42</v>
      </c>
      <c r="B45" s="15" t="n"/>
      <c r="C45" s="20">
        <f>IF(B45="","",IF(G45="",B45&amp;"-AST-"&amp;TEXT(42,"000"),B45&amp;"-"&amp;IF(G45="Graphic Design","GD",IF(G45="Video","VD",IF(G45="Motion Graphic","MG","AST")))&amp;"-"&amp;TEXT(42,"000")))</f>
        <v/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</row>
    <row r="46" ht="22" customHeight="1">
      <c r="A46" s="9" t="n">
        <v>43</v>
      </c>
      <c r="B46" s="11" t="n"/>
      <c r="C46" s="19">
        <f>IF(B46="","",IF(G46="",B46&amp;"-AST-"&amp;TEXT(43,"000"),B46&amp;"-"&amp;IF(G46="Graphic Design","GD",IF(G46="Video","VD",IF(G46="Motion Graphic","MG","AST")))&amp;"-"&amp;TEXT(43,"000")))</f>
        <v/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22" customHeight="1">
      <c r="A47" s="13" t="n">
        <v>44</v>
      </c>
      <c r="B47" s="15" t="n"/>
      <c r="C47" s="20">
        <f>IF(B47="","",IF(G47="",B47&amp;"-AST-"&amp;TEXT(44,"000"),B47&amp;"-"&amp;IF(G47="Graphic Design","GD",IF(G47="Video","VD",IF(G47="Motion Graphic","MG","AST")))&amp;"-"&amp;TEXT(44,"000")))</f>
        <v/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</row>
    <row r="48" ht="22" customHeight="1">
      <c r="A48" s="9" t="n">
        <v>45</v>
      </c>
      <c r="B48" s="11" t="n"/>
      <c r="C48" s="19">
        <f>IF(B48="","",IF(G48="",B48&amp;"-AST-"&amp;TEXT(45,"000"),B48&amp;"-"&amp;IF(G48="Graphic Design","GD",IF(G48="Video","VD",IF(G48="Motion Graphic","MG","AST")))&amp;"-"&amp;TEXT(45,"000")))</f>
        <v/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22" customHeight="1">
      <c r="A49" s="13" t="n">
        <v>46</v>
      </c>
      <c r="B49" s="15" t="n"/>
      <c r="C49" s="20">
        <f>IF(B49="","",IF(G49="",B49&amp;"-AST-"&amp;TEXT(46,"000"),B49&amp;"-"&amp;IF(G49="Graphic Design","GD",IF(G49="Video","VD",IF(G49="Motion Graphic","MG","AST")))&amp;"-"&amp;TEXT(46,"000")))</f>
        <v/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</row>
    <row r="50" ht="22" customHeight="1">
      <c r="A50" s="9" t="n">
        <v>47</v>
      </c>
      <c r="B50" s="11" t="n"/>
      <c r="C50" s="19">
        <f>IF(B50="","",IF(G50="",B50&amp;"-AST-"&amp;TEXT(47,"000"),B50&amp;"-"&amp;IF(G50="Graphic Design","GD",IF(G50="Video","VD",IF(G50="Motion Graphic","MG","AST")))&amp;"-"&amp;TEXT(47,"000")))</f>
        <v/>
      </c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 ht="22" customHeight="1">
      <c r="A51" s="13" t="n">
        <v>48</v>
      </c>
      <c r="B51" s="15" t="n"/>
      <c r="C51" s="20">
        <f>IF(B51="","",IF(G51="",B51&amp;"-AST-"&amp;TEXT(48,"000"),B51&amp;"-"&amp;IF(G51="Graphic Design","GD",IF(G51="Video","VD",IF(G51="Motion Graphic","MG","AST")))&amp;"-"&amp;TEXT(48,"000")))</f>
        <v/>
      </c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</row>
    <row r="52" ht="22" customHeight="1">
      <c r="A52" s="9" t="n">
        <v>49</v>
      </c>
      <c r="B52" s="11" t="n"/>
      <c r="C52" s="19">
        <f>IF(B52="","",IF(G52="",B52&amp;"-AST-"&amp;TEXT(49,"000"),B52&amp;"-"&amp;IF(G52="Graphic Design","GD",IF(G52="Video","VD",IF(G52="Motion Graphic","MG","AST")))&amp;"-"&amp;TEXT(49,"000")))</f>
        <v/>
      </c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 ht="22" customHeight="1">
      <c r="A53" s="13" t="n">
        <v>50</v>
      </c>
      <c r="B53" s="15" t="n"/>
      <c r="C53" s="20">
        <f>IF(B53="","",IF(G53="",B53&amp;"-AST-"&amp;TEXT(50,"000"),B53&amp;"-"&amp;IF(G53="Graphic Design","GD",IF(G53="Video","VD",IF(G53="Motion Graphic","MG","AST")))&amp;"-"&amp;TEXT(50,"000")))</f>
        <v/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</row>
    <row r="54" ht="22" customHeight="1">
      <c r="A54" s="9" t="n">
        <v>51</v>
      </c>
      <c r="B54" s="11" t="n"/>
      <c r="C54" s="19">
        <f>IF(B54="","",IF(G54="",B54&amp;"-AST-"&amp;TEXT(51,"000"),B54&amp;"-"&amp;IF(G54="Graphic Design","GD",IF(G54="Video","VD",IF(G54="Motion Graphic","MG","AST")))&amp;"-"&amp;TEXT(51,"000")))</f>
        <v/>
      </c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22" customHeight="1">
      <c r="A55" s="13" t="n">
        <v>52</v>
      </c>
      <c r="B55" s="15" t="n"/>
      <c r="C55" s="20">
        <f>IF(B55="","",IF(G55="",B55&amp;"-AST-"&amp;TEXT(52,"000"),B55&amp;"-"&amp;IF(G55="Graphic Design","GD",IF(G55="Video","VD",IF(G55="Motion Graphic","MG","AST")))&amp;"-"&amp;TEXT(52,"000")))</f>
        <v/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</row>
    <row r="56" ht="22" customHeight="1">
      <c r="A56" s="9" t="n">
        <v>53</v>
      </c>
      <c r="B56" s="11" t="n"/>
      <c r="C56" s="19">
        <f>IF(B56="","",IF(G56="",B56&amp;"-AST-"&amp;TEXT(53,"000"),B56&amp;"-"&amp;IF(G56="Graphic Design","GD",IF(G56="Video","VD",IF(G56="Motion Graphic","MG","AST")))&amp;"-"&amp;TEXT(53,"000")))</f>
        <v/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 ht="22" customHeight="1">
      <c r="A57" s="13" t="n">
        <v>54</v>
      </c>
      <c r="B57" s="15" t="n"/>
      <c r="C57" s="20">
        <f>IF(B57="","",IF(G57="",B57&amp;"-AST-"&amp;TEXT(54,"000"),B57&amp;"-"&amp;IF(G57="Graphic Design","GD",IF(G57="Video","VD",IF(G57="Motion Graphic","MG","AST")))&amp;"-"&amp;TEXT(54,"000")))</f>
        <v/>
      </c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</row>
    <row r="58" ht="22" customHeight="1">
      <c r="A58" s="9" t="n">
        <v>55</v>
      </c>
      <c r="B58" s="11" t="n"/>
      <c r="C58" s="19">
        <f>IF(B58="","",IF(G58="",B58&amp;"-AST-"&amp;TEXT(55,"000"),B58&amp;"-"&amp;IF(G58="Graphic Design","GD",IF(G58="Video","VD",IF(G58="Motion Graphic","MG","AST")))&amp;"-"&amp;TEXT(55,"000")))</f>
        <v/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 ht="22" customHeight="1">
      <c r="A59" s="13" t="n">
        <v>56</v>
      </c>
      <c r="B59" s="15" t="n"/>
      <c r="C59" s="20">
        <f>IF(B59="","",IF(G59="",B59&amp;"-AST-"&amp;TEXT(56,"000"),B59&amp;"-"&amp;IF(G59="Graphic Design","GD",IF(G59="Video","VD",IF(G59="Motion Graphic","MG","AST")))&amp;"-"&amp;TEXT(56,"000")))</f>
        <v/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</row>
    <row r="60" ht="22" customHeight="1">
      <c r="A60" s="9" t="n">
        <v>57</v>
      </c>
      <c r="B60" s="11" t="n"/>
      <c r="C60" s="19">
        <f>IF(B60="","",IF(G60="",B60&amp;"-AST-"&amp;TEXT(57,"000"),B60&amp;"-"&amp;IF(G60="Graphic Design","GD",IF(G60="Video","VD",IF(G60="Motion Graphic","MG","AST")))&amp;"-"&amp;TEXT(57,"000")))</f>
        <v/>
      </c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 ht="22" customHeight="1">
      <c r="A61" s="13" t="n">
        <v>58</v>
      </c>
      <c r="B61" s="15" t="n"/>
      <c r="C61" s="20">
        <f>IF(B61="","",IF(G61="",B61&amp;"-AST-"&amp;TEXT(58,"000"),B61&amp;"-"&amp;IF(G61="Graphic Design","GD",IF(G61="Video","VD",IF(G61="Motion Graphic","MG","AST")))&amp;"-"&amp;TEXT(58,"000")))</f>
        <v/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</row>
    <row r="62" ht="22" customHeight="1">
      <c r="A62" s="9" t="n">
        <v>59</v>
      </c>
      <c r="B62" s="11" t="n"/>
      <c r="C62" s="19">
        <f>IF(B62="","",IF(G62="",B62&amp;"-AST-"&amp;TEXT(59,"000"),B62&amp;"-"&amp;IF(G62="Graphic Design","GD",IF(G62="Video","VD",IF(G62="Motion Graphic","MG","AST")))&amp;"-"&amp;TEXT(59,"000")))</f>
        <v/>
      </c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22" customHeight="1">
      <c r="A63" s="13" t="n">
        <v>60</v>
      </c>
      <c r="B63" s="15" t="n"/>
      <c r="C63" s="20">
        <f>IF(B63="","",IF(G63="",B63&amp;"-AST-"&amp;TEXT(60,"000"),B63&amp;"-"&amp;IF(G63="Graphic Design","GD",IF(G63="Video","VD",IF(G63="Motion Graphic","MG","AST")))&amp;"-"&amp;TEXT(60,"000")))</f>
        <v/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</row>
    <row r="64" ht="22" customHeight="1">
      <c r="A64" s="9" t="n">
        <v>61</v>
      </c>
      <c r="B64" s="11" t="n"/>
      <c r="C64" s="19">
        <f>IF(B64="","",IF(G64="",B64&amp;"-AST-"&amp;TEXT(61,"000"),B64&amp;"-"&amp;IF(G64="Graphic Design","GD",IF(G64="Video","VD",IF(G64="Motion Graphic","MG","AST")))&amp;"-"&amp;TEXT(61,"000")))</f>
        <v/>
      </c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22" customHeight="1">
      <c r="A65" s="13" t="n">
        <v>62</v>
      </c>
      <c r="B65" s="15" t="n"/>
      <c r="C65" s="20">
        <f>IF(B65="","",IF(G65="",B65&amp;"-AST-"&amp;TEXT(62,"000"),B65&amp;"-"&amp;IF(G65="Graphic Design","GD",IF(G65="Video","VD",IF(G65="Motion Graphic","MG","AST")))&amp;"-"&amp;TEXT(62,"000")))</f>
        <v/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</row>
    <row r="66" ht="22" customHeight="1">
      <c r="A66" s="9" t="n">
        <v>63</v>
      </c>
      <c r="B66" s="11" t="n"/>
      <c r="C66" s="19">
        <f>IF(B66="","",IF(G66="",B66&amp;"-AST-"&amp;TEXT(63,"000"),B66&amp;"-"&amp;IF(G66="Graphic Design","GD",IF(G66="Video","VD",IF(G66="Motion Graphic","MG","AST")))&amp;"-"&amp;TEXT(63,"000")))</f>
        <v/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22" customHeight="1">
      <c r="A67" s="13" t="n">
        <v>64</v>
      </c>
      <c r="B67" s="15" t="n"/>
      <c r="C67" s="20">
        <f>IF(B67="","",IF(G67="",B67&amp;"-AST-"&amp;TEXT(64,"000"),B67&amp;"-"&amp;IF(G67="Graphic Design","GD",IF(G67="Video","VD",IF(G67="Motion Graphic","MG","AST")))&amp;"-"&amp;TEXT(64,"000")))</f>
        <v/>
      </c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</row>
    <row r="68" ht="22" customHeight="1">
      <c r="A68" s="9" t="n">
        <v>65</v>
      </c>
      <c r="B68" s="11" t="n"/>
      <c r="C68" s="19">
        <f>IF(B68="","",IF(G68="",B68&amp;"-AST-"&amp;TEXT(65,"000"),B68&amp;"-"&amp;IF(G68="Graphic Design","GD",IF(G68="Video","VD",IF(G68="Motion Graphic","MG","AST")))&amp;"-"&amp;TEXT(65,"000")))</f>
        <v/>
      </c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 ht="22" customHeight="1">
      <c r="A69" s="13" t="n">
        <v>66</v>
      </c>
      <c r="B69" s="15" t="n"/>
      <c r="C69" s="20">
        <f>IF(B69="","",IF(G69="",B69&amp;"-AST-"&amp;TEXT(66,"000"),B69&amp;"-"&amp;IF(G69="Graphic Design","GD",IF(G69="Video","VD",IF(G69="Motion Graphic","MG","AST")))&amp;"-"&amp;TEXT(66,"000")))</f>
        <v/>
      </c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</row>
    <row r="70" ht="22" customHeight="1">
      <c r="A70" s="9" t="n">
        <v>67</v>
      </c>
      <c r="B70" s="11" t="n"/>
      <c r="C70" s="19">
        <f>IF(B70="","",IF(G70="",B70&amp;"-AST-"&amp;TEXT(67,"000"),B70&amp;"-"&amp;IF(G70="Graphic Design","GD",IF(G70="Video","VD",IF(G70="Motion Graphic","MG","AST")))&amp;"-"&amp;TEXT(67,"000")))</f>
        <v/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 ht="22" customHeight="1">
      <c r="A71" s="13" t="n">
        <v>68</v>
      </c>
      <c r="B71" s="15" t="n"/>
      <c r="C71" s="20">
        <f>IF(B71="","",IF(G71="",B71&amp;"-AST-"&amp;TEXT(68,"000"),B71&amp;"-"&amp;IF(G71="Graphic Design","GD",IF(G71="Video","VD",IF(G71="Motion Graphic","MG","AST")))&amp;"-"&amp;TEXT(68,"000")))</f>
        <v/>
      </c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</row>
    <row r="72" ht="22" customHeight="1">
      <c r="A72" s="9" t="n">
        <v>69</v>
      </c>
      <c r="B72" s="11" t="n"/>
      <c r="C72" s="19">
        <f>IF(B72="","",IF(G72="",B72&amp;"-AST-"&amp;TEXT(69,"000"),B72&amp;"-"&amp;IF(G72="Graphic Design","GD",IF(G72="Video","VD",IF(G72="Motion Graphic","MG","AST")))&amp;"-"&amp;TEXT(69,"000")))</f>
        <v/>
      </c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 ht="22" customHeight="1">
      <c r="A73" s="13" t="n">
        <v>70</v>
      </c>
      <c r="B73" s="15" t="n"/>
      <c r="C73" s="20">
        <f>IF(B73="","",IF(G73="",B73&amp;"-AST-"&amp;TEXT(70,"000"),B73&amp;"-"&amp;IF(G73="Graphic Design","GD",IF(G73="Video","VD",IF(G73="Motion Graphic","MG","AST")))&amp;"-"&amp;TEXT(70,"000")))</f>
        <v/>
      </c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</row>
    <row r="74" ht="22" customHeight="1">
      <c r="A74" s="9" t="n">
        <v>71</v>
      </c>
      <c r="B74" s="11" t="n"/>
      <c r="C74" s="19">
        <f>IF(B74="","",IF(G74="",B74&amp;"-AST-"&amp;TEXT(71,"000"),B74&amp;"-"&amp;IF(G74="Graphic Design","GD",IF(G74="Video","VD",IF(G74="Motion Graphic","MG","AST")))&amp;"-"&amp;TEXT(71,"000")))</f>
        <v/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 ht="22" customHeight="1">
      <c r="A75" s="13" t="n">
        <v>72</v>
      </c>
      <c r="B75" s="15" t="n"/>
      <c r="C75" s="20">
        <f>IF(B75="","",IF(G75="",B75&amp;"-AST-"&amp;TEXT(72,"000"),B75&amp;"-"&amp;IF(G75="Graphic Design","GD",IF(G75="Video","VD",IF(G75="Motion Graphic","MG","AST")))&amp;"-"&amp;TEXT(72,"000")))</f>
        <v/>
      </c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</row>
    <row r="76" ht="22" customHeight="1">
      <c r="A76" s="9" t="n">
        <v>73</v>
      </c>
      <c r="B76" s="11" t="n"/>
      <c r="C76" s="19">
        <f>IF(B76="","",IF(G76="",B76&amp;"-AST-"&amp;TEXT(73,"000"),B76&amp;"-"&amp;IF(G76="Graphic Design","GD",IF(G76="Video","VD",IF(G76="Motion Graphic","MG","AST")))&amp;"-"&amp;TEXT(73,"000")))</f>
        <v/>
      </c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 ht="22" customHeight="1">
      <c r="A77" s="13" t="n">
        <v>74</v>
      </c>
      <c r="B77" s="15" t="n"/>
      <c r="C77" s="20">
        <f>IF(B77="","",IF(G77="",B77&amp;"-AST-"&amp;TEXT(74,"000"),B77&amp;"-"&amp;IF(G77="Graphic Design","GD",IF(G77="Video","VD",IF(G77="Motion Graphic","MG","AST")))&amp;"-"&amp;TEXT(74,"000")))</f>
        <v/>
      </c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</row>
    <row r="78" ht="22" customHeight="1">
      <c r="A78" s="9" t="n">
        <v>75</v>
      </c>
      <c r="B78" s="11" t="n"/>
      <c r="C78" s="19">
        <f>IF(B78="","",IF(G78="",B78&amp;"-AST-"&amp;TEXT(75,"000"),B78&amp;"-"&amp;IF(G78="Graphic Design","GD",IF(G78="Video","VD",IF(G78="Motion Graphic","MG","AST")))&amp;"-"&amp;TEXT(75,"000")))</f>
        <v/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 ht="22" customHeight="1">
      <c r="A79" s="13" t="n">
        <v>76</v>
      </c>
      <c r="B79" s="15" t="n"/>
      <c r="C79" s="20">
        <f>IF(B79="","",IF(G79="",B79&amp;"-AST-"&amp;TEXT(76,"000"),B79&amp;"-"&amp;IF(G79="Graphic Design","GD",IF(G79="Video","VD",IF(G79="Motion Graphic","MG","AST")))&amp;"-"&amp;TEXT(76,"000")))</f>
        <v/>
      </c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</row>
    <row r="80" ht="22" customHeight="1">
      <c r="A80" s="9" t="n">
        <v>77</v>
      </c>
      <c r="B80" s="11" t="n"/>
      <c r="C80" s="19">
        <f>IF(B80="","",IF(G80="",B80&amp;"-AST-"&amp;TEXT(77,"000"),B80&amp;"-"&amp;IF(G80="Graphic Design","GD",IF(G80="Video","VD",IF(G80="Motion Graphic","MG","AST")))&amp;"-"&amp;TEXT(77,"000")))</f>
        <v/>
      </c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 ht="22" customHeight="1">
      <c r="A81" s="13" t="n">
        <v>78</v>
      </c>
      <c r="B81" s="15" t="n"/>
      <c r="C81" s="20">
        <f>IF(B81="","",IF(G81="",B81&amp;"-AST-"&amp;TEXT(78,"000"),B81&amp;"-"&amp;IF(G81="Graphic Design","GD",IF(G81="Video","VD",IF(G81="Motion Graphic","MG","AST")))&amp;"-"&amp;TEXT(78,"000")))</f>
        <v/>
      </c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</row>
    <row r="82" ht="22" customHeight="1">
      <c r="A82" s="9" t="n">
        <v>79</v>
      </c>
      <c r="B82" s="11" t="n"/>
      <c r="C82" s="19">
        <f>IF(B82="","",IF(G82="",B82&amp;"-AST-"&amp;TEXT(79,"000"),B82&amp;"-"&amp;IF(G82="Graphic Design","GD",IF(G82="Video","VD",IF(G82="Motion Graphic","MG","AST")))&amp;"-"&amp;TEXT(79,"000")))</f>
        <v/>
      </c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 ht="22" customHeight="1">
      <c r="A83" s="13" t="n">
        <v>80</v>
      </c>
      <c r="B83" s="15" t="n"/>
      <c r="C83" s="20">
        <f>IF(B83="","",IF(G83="",B83&amp;"-AST-"&amp;TEXT(80,"000"),B83&amp;"-"&amp;IF(G83="Graphic Design","GD",IF(G83="Video","VD",IF(G83="Motion Graphic","MG","AST")))&amp;"-"&amp;TEXT(80,"000")))</f>
        <v/>
      </c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</row>
    <row r="84" ht="22" customHeight="1">
      <c r="A84" s="9" t="n">
        <v>81</v>
      </c>
      <c r="B84" s="11" t="n"/>
      <c r="C84" s="19">
        <f>IF(B84="","",IF(G84="",B84&amp;"-AST-"&amp;TEXT(81,"000"),B84&amp;"-"&amp;IF(G84="Graphic Design","GD",IF(G84="Video","VD",IF(G84="Motion Graphic","MG","AST")))&amp;"-"&amp;TEXT(81,"000")))</f>
        <v/>
      </c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 ht="22" customHeight="1">
      <c r="A85" s="13" t="n">
        <v>82</v>
      </c>
      <c r="B85" s="15" t="n"/>
      <c r="C85" s="20">
        <f>IF(B85="","",IF(G85="",B85&amp;"-AST-"&amp;TEXT(82,"000"),B85&amp;"-"&amp;IF(G85="Graphic Design","GD",IF(G85="Video","VD",IF(G85="Motion Graphic","MG","AST")))&amp;"-"&amp;TEXT(82,"000")))</f>
        <v/>
      </c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</row>
    <row r="86" ht="22" customHeight="1">
      <c r="A86" s="9" t="n">
        <v>83</v>
      </c>
      <c r="B86" s="11" t="n"/>
      <c r="C86" s="19">
        <f>IF(B86="","",IF(G86="",B86&amp;"-AST-"&amp;TEXT(83,"000"),B86&amp;"-"&amp;IF(G86="Graphic Design","GD",IF(G86="Video","VD",IF(G86="Motion Graphic","MG","AST")))&amp;"-"&amp;TEXT(83,"000")))</f>
        <v/>
      </c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 ht="22" customHeight="1">
      <c r="A87" s="13" t="n">
        <v>84</v>
      </c>
      <c r="B87" s="15" t="n"/>
      <c r="C87" s="20">
        <f>IF(B87="","",IF(G87="",B87&amp;"-AST-"&amp;TEXT(84,"000"),B87&amp;"-"&amp;IF(G87="Graphic Design","GD",IF(G87="Video","VD",IF(G87="Motion Graphic","MG","AST")))&amp;"-"&amp;TEXT(84,"000")))</f>
        <v/>
      </c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</row>
    <row r="88" ht="22" customHeight="1">
      <c r="A88" s="9" t="n">
        <v>85</v>
      </c>
      <c r="B88" s="11" t="n"/>
      <c r="C88" s="19">
        <f>IF(B88="","",IF(G88="",B88&amp;"-AST-"&amp;TEXT(85,"000"),B88&amp;"-"&amp;IF(G88="Graphic Design","GD",IF(G88="Video","VD",IF(G88="Motion Graphic","MG","AST")))&amp;"-"&amp;TEXT(85,"000")))</f>
        <v/>
      </c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 ht="22" customHeight="1">
      <c r="A89" s="13" t="n">
        <v>86</v>
      </c>
      <c r="B89" s="15" t="n"/>
      <c r="C89" s="20">
        <f>IF(B89="","",IF(G89="",B89&amp;"-AST-"&amp;TEXT(86,"000"),B89&amp;"-"&amp;IF(G89="Graphic Design","GD",IF(G89="Video","VD",IF(G89="Motion Graphic","MG","AST")))&amp;"-"&amp;TEXT(86,"000")))</f>
        <v/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</row>
    <row r="90" ht="22" customHeight="1">
      <c r="A90" s="9" t="n">
        <v>87</v>
      </c>
      <c r="B90" s="11" t="n"/>
      <c r="C90" s="19">
        <f>IF(B90="","",IF(G90="",B90&amp;"-AST-"&amp;TEXT(87,"000"),B90&amp;"-"&amp;IF(G90="Graphic Design","GD",IF(G90="Video","VD",IF(G90="Motion Graphic","MG","AST")))&amp;"-"&amp;TEXT(87,"000")))</f>
        <v/>
      </c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 ht="22" customHeight="1">
      <c r="A91" s="13" t="n">
        <v>88</v>
      </c>
      <c r="B91" s="15" t="n"/>
      <c r="C91" s="20">
        <f>IF(B91="","",IF(G91="",B91&amp;"-AST-"&amp;TEXT(88,"000"),B91&amp;"-"&amp;IF(G91="Graphic Design","GD",IF(G91="Video","VD",IF(G91="Motion Graphic","MG","AST")))&amp;"-"&amp;TEXT(88,"000")))</f>
        <v/>
      </c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</row>
    <row r="92" ht="22" customHeight="1">
      <c r="A92" s="9" t="n">
        <v>89</v>
      </c>
      <c r="B92" s="11" t="n"/>
      <c r="C92" s="19">
        <f>IF(B92="","",IF(G92="",B92&amp;"-AST-"&amp;TEXT(89,"000"),B92&amp;"-"&amp;IF(G92="Graphic Design","GD",IF(G92="Video","VD",IF(G92="Motion Graphic","MG","AST")))&amp;"-"&amp;TEXT(89,"000")))</f>
        <v/>
      </c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 ht="22" customHeight="1">
      <c r="A93" s="13" t="n">
        <v>90</v>
      </c>
      <c r="B93" s="15" t="n"/>
      <c r="C93" s="20">
        <f>IF(B93="","",IF(G93="",B93&amp;"-AST-"&amp;TEXT(90,"000"),B93&amp;"-"&amp;IF(G93="Graphic Design","GD",IF(G93="Video","VD",IF(G93="Motion Graphic","MG","AST")))&amp;"-"&amp;TEXT(90,"000")))</f>
        <v/>
      </c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</row>
    <row r="94" ht="22" customHeight="1">
      <c r="A94" s="9" t="n">
        <v>91</v>
      </c>
      <c r="B94" s="11" t="n"/>
      <c r="C94" s="19">
        <f>IF(B94="","",IF(G94="",B94&amp;"-AST-"&amp;TEXT(91,"000"),B94&amp;"-"&amp;IF(G94="Graphic Design","GD",IF(G94="Video","VD",IF(G94="Motion Graphic","MG","AST")))&amp;"-"&amp;TEXT(91,"000")))</f>
        <v/>
      </c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 ht="22" customHeight="1">
      <c r="A95" s="13" t="n">
        <v>92</v>
      </c>
      <c r="B95" s="15" t="n"/>
      <c r="C95" s="20">
        <f>IF(B95="","",IF(G95="",B95&amp;"-AST-"&amp;TEXT(92,"000"),B95&amp;"-"&amp;IF(G95="Graphic Design","GD",IF(G95="Video","VD",IF(G95="Motion Graphic","MG","AST")))&amp;"-"&amp;TEXT(92,"000")))</f>
        <v/>
      </c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</row>
    <row r="96" ht="22" customHeight="1">
      <c r="A96" s="9" t="n">
        <v>93</v>
      </c>
      <c r="B96" s="11" t="n"/>
      <c r="C96" s="19">
        <f>IF(B96="","",IF(G96="",B96&amp;"-AST-"&amp;TEXT(93,"000"),B96&amp;"-"&amp;IF(G96="Graphic Design","GD",IF(G96="Video","VD",IF(G96="Motion Graphic","MG","AST")))&amp;"-"&amp;TEXT(93,"000")))</f>
        <v/>
      </c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 ht="22" customHeight="1">
      <c r="A97" s="13" t="n">
        <v>94</v>
      </c>
      <c r="B97" s="15" t="n"/>
      <c r="C97" s="20">
        <f>IF(B97="","",IF(G97="",B97&amp;"-AST-"&amp;TEXT(94,"000"),B97&amp;"-"&amp;IF(G97="Graphic Design","GD",IF(G97="Video","VD",IF(G97="Motion Graphic","MG","AST")))&amp;"-"&amp;TEXT(94,"000")))</f>
        <v/>
      </c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</row>
    <row r="98" ht="22" customHeight="1">
      <c r="A98" s="9" t="n">
        <v>95</v>
      </c>
      <c r="B98" s="11" t="n"/>
      <c r="C98" s="19">
        <f>IF(B98="","",IF(G98="",B98&amp;"-AST-"&amp;TEXT(95,"000"),B98&amp;"-"&amp;IF(G98="Graphic Design","GD",IF(G98="Video","VD",IF(G98="Motion Graphic","MG","AST")))&amp;"-"&amp;TEXT(95,"000")))</f>
        <v/>
      </c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 ht="22" customHeight="1">
      <c r="A99" s="13" t="n">
        <v>96</v>
      </c>
      <c r="B99" s="15" t="n"/>
      <c r="C99" s="20">
        <f>IF(B99="","",IF(G99="",B99&amp;"-AST-"&amp;TEXT(96,"000"),B99&amp;"-"&amp;IF(G99="Graphic Design","GD",IF(G99="Video","VD",IF(G99="Motion Graphic","MG","AST")))&amp;"-"&amp;TEXT(96,"000")))</f>
        <v/>
      </c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</row>
    <row r="100" ht="22" customHeight="1">
      <c r="A100" s="9" t="n">
        <v>97</v>
      </c>
      <c r="B100" s="11" t="n"/>
      <c r="C100" s="19">
        <f>IF(B100="","",IF(G100="",B100&amp;"-AST-"&amp;TEXT(97,"000"),B100&amp;"-"&amp;IF(G100="Graphic Design","GD",IF(G100="Video","VD",IF(G100="Motion Graphic","MG","AST")))&amp;"-"&amp;TEXT(97,"000")))</f>
        <v/>
      </c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 ht="22" customHeight="1">
      <c r="A101" s="13" t="n">
        <v>98</v>
      </c>
      <c r="B101" s="15" t="n"/>
      <c r="C101" s="20">
        <f>IF(B101="","",IF(G101="",B101&amp;"-AST-"&amp;TEXT(98,"000"),B101&amp;"-"&amp;IF(G101="Graphic Design","GD",IF(G101="Video","VD",IF(G101="Motion Graphic","MG","AST")))&amp;"-"&amp;TEXT(98,"000")))</f>
        <v/>
      </c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</row>
    <row r="102" ht="22" customHeight="1">
      <c r="A102" s="9" t="n">
        <v>99</v>
      </c>
      <c r="B102" s="11" t="n"/>
      <c r="C102" s="19">
        <f>IF(B102="","",IF(G102="",B102&amp;"-AST-"&amp;TEXT(99,"000"),B102&amp;"-"&amp;IF(G102="Graphic Design","GD",IF(G102="Video","VD",IF(G102="Motion Graphic","MG","AST")))&amp;"-"&amp;TEXT(99,"000")))</f>
        <v/>
      </c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 ht="22" customHeight="1">
      <c r="A103" s="13" t="n">
        <v>100</v>
      </c>
      <c r="B103" s="15" t="n"/>
      <c r="C103" s="20">
        <f>IF(B103="","",IF(G103="",B103&amp;"-AST-"&amp;TEXT(100,"000"),B103&amp;"-"&amp;IF(G103="Graphic Design","GD",IF(G103="Video","VD",IF(G103="Motion Graphic","MG","AST")))&amp;"-"&amp;TEXT(100,"000")))</f>
        <v/>
      </c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</row>
  </sheetData>
  <mergeCells count="2">
    <mergeCell ref="A2:X2"/>
    <mergeCell ref="A1:X1"/>
  </mergeCells>
  <conditionalFormatting sqref="R4:R103">
    <cfRule type="containsText" priority="1" operator="containsText" dxfId="0" text="Active">
      <formula>NOT(ISERROR(SEARCH("Active",R4)))</formula>
    </cfRule>
    <cfRule type="containsText" priority="2" operator="containsText" dxfId="0" text="Completed">
      <formula>NOT(ISERROR(SEARCH("Completed",R4)))</formula>
    </cfRule>
    <cfRule type="containsText" priority="3" operator="containsText" dxfId="0" text="Approved">
      <formula>NOT(ISERROR(SEARCH("Approved",R4)))</formula>
    </cfRule>
    <cfRule type="containsText" priority="4" operator="containsText" dxfId="0" text="Published">
      <formula>NOT(ISERROR(SEARCH("Published",R4)))</formula>
    </cfRule>
    <cfRule type="containsText" priority="5" operator="containsText" dxfId="0" text="Live">
      <formula>NOT(ISERROR(SEARCH("Live",R4)))</formula>
    </cfRule>
    <cfRule type="containsText" priority="6" operator="containsText" dxfId="1" text="Cancelled">
      <formula>NOT(ISERROR(SEARCH("Cancelled",R4)))</formula>
    </cfRule>
    <cfRule type="containsText" priority="7" operator="containsText" dxfId="1" text="Rejected">
      <formula>NOT(ISERROR(SEARCH("Rejected",R4)))</formula>
    </cfRule>
    <cfRule type="containsText" priority="8" operator="containsText" dxfId="2" text="On Hold">
      <formula>NOT(ISERROR(SEARCH("On Hold",R4)))</formula>
    </cfRule>
    <cfRule type="containsText" priority="9" operator="containsText" dxfId="2" text="Paused">
      <formula>NOT(ISERROR(SEARCH("Paused",R4)))</formula>
    </cfRule>
    <cfRule type="containsText" priority="10" operator="containsText" dxfId="2" text="Revision">
      <formula>NOT(ISERROR(SEARCH("Revision",R4)))</formula>
    </cfRule>
    <cfRule type="containsText" priority="11" operator="containsText" dxfId="2" text="Changes">
      <formula>NOT(ISERROR(SEARCH("Changes",R4)))</formula>
    </cfRule>
    <cfRule type="containsText" priority="12" operator="containsText" dxfId="3" text="Planning">
      <formula>NOT(ISERROR(SEARCH("Planning",R4)))</formula>
    </cfRule>
    <cfRule type="containsText" priority="13" operator="containsText" dxfId="3" text="Briefed">
      <formula>NOT(ISERROR(SEARCH("Briefed",R4)))</formula>
    </cfRule>
    <cfRule type="containsText" priority="14" operator="containsText" dxfId="4" text="Progress">
      <formula>NOT(ISERROR(SEARCH("Progress",R4)))</formula>
    </cfRule>
  </conditionalFormatting>
  <conditionalFormatting sqref="S4:S103">
    <cfRule type="containsText" priority="15" operator="containsText" dxfId="0" text="Approved">
      <formula>NOT(ISERROR(SEARCH("Approved",S4)))</formula>
    </cfRule>
    <cfRule type="containsText" priority="16" operator="containsText" dxfId="1" text="Rejected">
      <formula>NOT(ISERROR(SEARCH("Rejected",S4)))</formula>
    </cfRule>
    <cfRule type="containsText" priority="17" operator="containsText" dxfId="2" text="Changes">
      <formula>NOT(ISERROR(SEARCH("Changes",S4)))</formula>
    </cfRule>
    <cfRule type="containsText" priority="18" operator="containsText" dxfId="3" text="Pending">
      <formula>NOT(ISERROR(SEARCH("Pending",S4)))</formula>
    </cfRule>
  </conditionalFormatting>
  <conditionalFormatting sqref="T4:T103">
    <cfRule type="containsText" priority="19" operator="containsText" dxfId="0" text="Approved">
      <formula>NOT(ISERROR(SEARCH("Approved",T4)))</formula>
    </cfRule>
    <cfRule type="containsText" priority="20" operator="containsText" dxfId="1" text="Rejected">
      <formula>NOT(ISERROR(SEARCH("Rejected",T4)))</formula>
    </cfRule>
    <cfRule type="containsText" priority="21" operator="containsText" dxfId="2" text="Changes">
      <formula>NOT(ISERROR(SEARCH("Changes",T4)))</formula>
    </cfRule>
    <cfRule type="containsText" priority="22" operator="containsText" dxfId="3" text="Pending">
      <formula>NOT(ISERROR(SEARCH("Pending",T4)))</formula>
    </cfRule>
  </conditionalFormatting>
  <conditionalFormatting sqref="Q4:Q103">
    <cfRule type="containsText" priority="23" operator="containsText" dxfId="1" text="Critical">
      <formula>NOT(ISERROR(SEARCH("Critical",Q4)))</formula>
    </cfRule>
    <cfRule type="containsText" priority="24" operator="containsText" dxfId="2" text="High">
      <formula>NOT(ISERROR(SEARCH("High",Q4)))</formula>
    </cfRule>
    <cfRule type="containsText" priority="25" operator="containsText" dxfId="4" text="Medium">
      <formula>NOT(ISERROR(SEARCH("Medium",Q4)))</formula>
    </cfRule>
    <cfRule type="containsText" priority="26" operator="containsText" dxfId="0" text="Low">
      <formula>NOT(ISERROR(SEARCH("Low",Q4)))</formula>
    </cfRule>
  </conditionalFormatting>
  <dataValidations count="12">
    <dataValidation sqref="D4:D103" showDropDown="0" showInputMessage="1" showErrorMessage="1" allowBlank="1" errorTitle="Invalid" error="Select from the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F4:F103" showDropDown="0" showInputMessage="1" showErrorMessage="1" allowBlank="1" errorTitle="Invalid" error="Select from the dropdown." promptTitle="Content Type" prompt="Type of creative." type="list">
      <formula1>"Social Media Post,Blog Visual,Case Study Visual,Whitepaper Cover,Email Banner,Ad Creative,Brochure / Flyer,Presentation Deck,Event Material,Video – Explainer,Video – Testimonial,Video – Reel/Short,Video – Webinar,Infographic,Thumbnail,Other"</formula1>
    </dataValidation>
    <dataValidation sqref="G4:G103" showDropDown="0" showInputMessage="1" showErrorMessage="1" allowBlank="1" errorTitle="Invalid" error="Select from the dropdown." promptTitle="Asset Type" prompt="Creative category." type="list">
      <formula1>"Graphic Design,Video,Motion Graphic,Animation,Photography Edit,Illustration,Template,Other"</formula1>
    </dataValidation>
    <dataValidation sqref="I4:I103" showDropDown="0" showInputMessage="1" showErrorMessage="1" allowBlank="1" errorTitle="Invalid" error="Select from the dropdown." promptTitle="Platform" prompt="Target platform." type="list">
      <formula1>"LinkedIn,Instagram,Twitter/X,Facebook,YouTube,Website,Email,WhatsApp,Print,Multiple,Other"</formula1>
    </dataValidation>
    <dataValidation sqref="Q4:Q103" showDropDown="0" showInputMessage="1" showErrorMessage="1" allowBlank="1" errorTitle="Invalid" error="Select from the dropdown." promptTitle="Priority" prompt="Urgency level." type="list">
      <formula1>"🔴 Critical,🟠 High,🟡 Medium,🟢 Low"</formula1>
    </dataValidation>
    <dataValidation sqref="R4:R103" showDropDown="0" showInputMessage="1" showErrorMessage="1" allowBlank="1" errorTitle="Invalid" error="Select from the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S4:S103" showDropDown="0" showInputMessage="1" showErrorMessage="1" allowBlank="1" errorTitle="Invalid" error="Select from the dropdown." promptTitle="PH Approval" prompt="Project Head approval." type="list">
      <formula1>"⏳ Pending,✅ Approved,🔁 Changes Requested,❌ Rejected"</formula1>
    </dataValidation>
    <dataValidation sqref="T4:T103" showDropDown="0" showInputMessage="1" showErrorMessage="1" allowBlank="1" errorTitle="Invalid" error="Select from the dropdown." promptTitle="Mgr Approval" prompt="Manager approval." type="list">
      <formula1>"⏳ Pending,✅ Approved,🔁 Changes Requested,❌ Rejected"</formula1>
    </dataValidation>
    <dataValidation sqref="X4:X103" showDropDown="0" showInputMessage="1" showErrorMessage="1" allowBlank="1" errorTitle="Invalid" error="Select from the dropdown." promptTitle="Archived" prompt="Mark Yes when done." type="list">
      <formula1>"No,Yes"</formula1>
    </dataValidation>
    <dataValidation sqref="N4:N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O4:O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P4:P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2" customWidth="1" min="4" max="4"/>
    <col width="30" customWidth="1" min="5" max="5"/>
    <col width="18" customWidth="1" min="6" max="6"/>
    <col width="20" customWidth="1" min="7" max="7"/>
    <col width="20" customWidth="1" min="8" max="8"/>
    <col width="28" customWidth="1" min="9" max="9"/>
    <col width="28" customWidth="1" min="10" max="10"/>
    <col width="40" customWidth="1" min="11" max="11"/>
    <col width="16" customWidth="1" min="12" max="12"/>
    <col width="30" customWidth="1" min="13" max="13"/>
    <col width="22" customWidth="1" min="14" max="14"/>
    <col width="26" customWidth="1" min="15" max="15"/>
    <col width="14" customWidth="1" min="16" max="16"/>
    <col width="15" customWidth="1" min="17" max="17"/>
    <col width="15" customWidth="1" min="18" max="18"/>
    <col width="30" customWidth="1" min="19" max="19"/>
    <col width="22" customWidth="1" min="20" max="20"/>
    <col width="14" customWidth="1" min="21" max="21"/>
    <col width="13" customWidth="1" min="22" max="22"/>
    <col width="26" customWidth="1" min="23" max="23"/>
    <col width="26" customWidth="1" min="24" max="24"/>
    <col width="22" customWidth="1" min="25" max="25"/>
    <col width="30" customWidth="1" min="26" max="26"/>
  </cols>
  <sheetData>
    <row r="1" ht="36" customHeight="1">
      <c r="A1" s="21" t="inlineStr">
        <is>
          <t>SolidPro — Ad Copy Tracker  |  FILE 1 of 2</t>
        </is>
      </c>
    </row>
    <row r="2" ht="16" customHeight="1">
      <c r="A2" s="2" t="inlineStr">
        <is>
          <t>Asset ID format: CAMPID-AD-001  |  Link Destination URL and Creative ID before publishing  |  * = Mandatory</t>
        </is>
      </c>
    </row>
    <row r="3" ht="32" customHeight="1">
      <c r="A3" s="22" t="inlineStr">
        <is>
          <t>S.No</t>
        </is>
      </c>
      <c r="B3" s="22" t="inlineStr">
        <is>
          <t>Campaign ID *</t>
        </is>
      </c>
      <c r="C3" s="22" t="inlineStr">
        <is>
          <t>Asset ID</t>
        </is>
      </c>
      <c r="D3" s="22" t="inlineStr">
        <is>
          <t>Vertical *</t>
        </is>
      </c>
      <c r="E3" s="22" t="inlineStr">
        <is>
          <t>Ad Name / Title *</t>
        </is>
      </c>
      <c r="F3" s="22" t="inlineStr">
        <is>
          <t>Ad Platform</t>
        </is>
      </c>
      <c r="G3" s="22" t="inlineStr">
        <is>
          <t>Ad Format</t>
        </is>
      </c>
      <c r="H3" s="22" t="inlineStr">
        <is>
          <t>Ad Objective</t>
        </is>
      </c>
      <c r="I3" s="22" t="inlineStr">
        <is>
          <t>Headline 1</t>
        </is>
      </c>
      <c r="J3" s="22" t="inlineStr">
        <is>
          <t>Headline 2</t>
        </is>
      </c>
      <c r="K3" s="22" t="inlineStr">
        <is>
          <t>Body Copy</t>
        </is>
      </c>
      <c r="L3" s="22" t="inlineStr">
        <is>
          <t>CTA Text</t>
        </is>
      </c>
      <c r="M3" s="22" t="inlineStr">
        <is>
          <t>Destination URL</t>
        </is>
      </c>
      <c r="N3" s="22" t="inlineStr">
        <is>
          <t>Linked Creative ID</t>
        </is>
      </c>
      <c r="O3" s="22" t="inlineStr">
        <is>
          <t>Audience Targeting</t>
        </is>
      </c>
      <c r="P3" s="22" t="inlineStr">
        <is>
          <t>Budget (INR)</t>
        </is>
      </c>
      <c r="Q3" s="22" t="inlineStr">
        <is>
          <t>Run Start Date</t>
        </is>
      </c>
      <c r="R3" s="22" t="inlineStr">
        <is>
          <t>Run End Date</t>
        </is>
      </c>
      <c r="S3" s="22" t="inlineStr">
        <is>
          <t>UTM Parameters</t>
        </is>
      </c>
      <c r="T3" s="22" t="inlineStr">
        <is>
          <t>Owner *</t>
        </is>
      </c>
      <c r="U3" s="22" t="inlineStr">
        <is>
          <t>Due Date *</t>
        </is>
      </c>
      <c r="V3" s="22" t="inlineStr">
        <is>
          <t>Priority</t>
        </is>
      </c>
      <c r="W3" s="22" t="inlineStr">
        <is>
          <t>Status</t>
        </is>
      </c>
      <c r="X3" s="22" t="inlineStr">
        <is>
          <t>Approved by Project Head</t>
        </is>
      </c>
      <c r="Y3" s="22" t="inlineStr">
        <is>
          <t>Approved by Manager</t>
        </is>
      </c>
      <c r="Z3" s="22" t="inlineStr">
        <is>
          <t>Notes</t>
        </is>
      </c>
    </row>
    <row r="4" ht="22" customHeight="1">
      <c r="A4" s="9" t="n">
        <v>1</v>
      </c>
      <c r="B4" s="11" t="n"/>
      <c r="C4" s="23">
        <f>IF(B4="","",B4&amp;"-AD-"&amp;TEXT(1,"000"))</f>
        <v/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2" customHeight="1">
      <c r="A5" s="13" t="n">
        <v>2</v>
      </c>
      <c r="B5" s="15" t="n"/>
      <c r="C5" s="24">
        <f>IF(B5="","",B5&amp;"-AD-"&amp;TEXT(2,"000"))</f>
        <v/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22" customHeight="1">
      <c r="A6" s="9" t="n">
        <v>3</v>
      </c>
      <c r="B6" s="11" t="n"/>
      <c r="C6" s="23">
        <f>IF(B6="","",B6&amp;"-AD-"&amp;TEXT(3,"000"))</f>
        <v/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2" customHeight="1">
      <c r="A7" s="13" t="n">
        <v>4</v>
      </c>
      <c r="B7" s="15" t="n"/>
      <c r="C7" s="24">
        <f>IF(B7="","",B7&amp;"-AD-"&amp;TEXT(4,"000"))</f>
        <v/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22" customHeight="1">
      <c r="A8" s="9" t="n">
        <v>5</v>
      </c>
      <c r="B8" s="11" t="n"/>
      <c r="C8" s="23">
        <f>IF(B8="","",B8&amp;"-AD-"&amp;TEXT(5,"000"))</f>
        <v/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22" customHeight="1">
      <c r="A9" s="13" t="n">
        <v>6</v>
      </c>
      <c r="B9" s="15" t="n"/>
      <c r="C9" s="24">
        <f>IF(B9="","",B9&amp;"-AD-"&amp;TEXT(6,"000"))</f>
        <v/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 ht="22" customHeight="1">
      <c r="A10" s="9" t="n">
        <v>7</v>
      </c>
      <c r="B10" s="11" t="n"/>
      <c r="C10" s="23">
        <f>IF(B10="","",B10&amp;"-AD-"&amp;TEXT(7,"000"))</f>
        <v/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22" customHeight="1">
      <c r="A11" s="13" t="n">
        <v>8</v>
      </c>
      <c r="B11" s="15" t="n"/>
      <c r="C11" s="24">
        <f>IF(B11="","",B11&amp;"-AD-"&amp;TEXT(8,"000"))</f>
        <v/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ht="22" customHeight="1">
      <c r="A12" s="9" t="n">
        <v>9</v>
      </c>
      <c r="B12" s="11" t="n"/>
      <c r="C12" s="23">
        <f>IF(B12="","",B12&amp;"-AD-"&amp;TEXT(9,"000"))</f>
        <v/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2" customHeight="1">
      <c r="A13" s="13" t="n">
        <v>10</v>
      </c>
      <c r="B13" s="15" t="n"/>
      <c r="C13" s="24">
        <f>IF(B13="","",B13&amp;"-AD-"&amp;TEXT(10,"000"))</f>
        <v/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ht="22" customHeight="1">
      <c r="A14" s="9" t="n">
        <v>11</v>
      </c>
      <c r="B14" s="11" t="n"/>
      <c r="C14" s="23">
        <f>IF(B14="","",B14&amp;"-AD-"&amp;TEXT(11,"000"))</f>
        <v/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22" customHeight="1">
      <c r="A15" s="13" t="n">
        <v>12</v>
      </c>
      <c r="B15" s="15" t="n"/>
      <c r="C15" s="24">
        <f>IF(B15="","",B15&amp;"-AD-"&amp;TEXT(12,"000"))</f>
        <v/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22" customHeight="1">
      <c r="A16" s="9" t="n">
        <v>13</v>
      </c>
      <c r="B16" s="11" t="n"/>
      <c r="C16" s="23">
        <f>IF(B16="","",B16&amp;"-AD-"&amp;TEXT(13,"000"))</f>
        <v/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22" customHeight="1">
      <c r="A17" s="13" t="n">
        <v>14</v>
      </c>
      <c r="B17" s="15" t="n"/>
      <c r="C17" s="24">
        <f>IF(B17="","",B17&amp;"-AD-"&amp;TEXT(14,"000"))</f>
        <v/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 ht="22" customHeight="1">
      <c r="A18" s="9" t="n">
        <v>15</v>
      </c>
      <c r="B18" s="11" t="n"/>
      <c r="C18" s="23">
        <f>IF(B18="","",B18&amp;"-AD-"&amp;TEXT(15,"000"))</f>
        <v/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2" customHeight="1">
      <c r="A19" s="13" t="n">
        <v>16</v>
      </c>
      <c r="B19" s="15" t="n"/>
      <c r="C19" s="24">
        <f>IF(B19="","",B19&amp;"-AD-"&amp;TEXT(16,"000"))</f>
        <v/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 ht="22" customHeight="1">
      <c r="A20" s="9" t="n">
        <v>17</v>
      </c>
      <c r="B20" s="11" t="n"/>
      <c r="C20" s="23">
        <f>IF(B20="","",B20&amp;"-AD-"&amp;TEXT(17,"000"))</f>
        <v/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22" customHeight="1">
      <c r="A21" s="13" t="n">
        <v>18</v>
      </c>
      <c r="B21" s="15" t="n"/>
      <c r="C21" s="24">
        <f>IF(B21="","",B21&amp;"-AD-"&amp;TEXT(18,"000"))</f>
        <v/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22" customHeight="1">
      <c r="A22" s="9" t="n">
        <v>19</v>
      </c>
      <c r="B22" s="11" t="n"/>
      <c r="C22" s="23">
        <f>IF(B22="","",B22&amp;"-AD-"&amp;TEXT(19,"000"))</f>
        <v/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2" customHeight="1">
      <c r="A23" s="13" t="n">
        <v>20</v>
      </c>
      <c r="B23" s="15" t="n"/>
      <c r="C23" s="24">
        <f>IF(B23="","",B23&amp;"-AD-"&amp;TEXT(20,"000"))</f>
        <v/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22" customHeight="1">
      <c r="A24" s="9" t="n">
        <v>21</v>
      </c>
      <c r="B24" s="11" t="n"/>
      <c r="C24" s="23">
        <f>IF(B24="","",B24&amp;"-AD-"&amp;TEXT(21,"000"))</f>
        <v/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22" customHeight="1">
      <c r="A25" s="13" t="n">
        <v>22</v>
      </c>
      <c r="B25" s="15" t="n"/>
      <c r="C25" s="24">
        <f>IF(B25="","",B25&amp;"-AD-"&amp;TEXT(22,"000"))</f>
        <v/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22" customHeight="1">
      <c r="A26" s="9" t="n">
        <v>23</v>
      </c>
      <c r="B26" s="11" t="n"/>
      <c r="C26" s="23">
        <f>IF(B26="","",B26&amp;"-AD-"&amp;TEXT(23,"000"))</f>
        <v/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22" customHeight="1">
      <c r="A27" s="13" t="n">
        <v>24</v>
      </c>
      <c r="B27" s="15" t="n"/>
      <c r="C27" s="24">
        <f>IF(B27="","",B27&amp;"-AD-"&amp;TEXT(24,"000"))</f>
        <v/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22" customHeight="1">
      <c r="A28" s="9" t="n">
        <v>25</v>
      </c>
      <c r="B28" s="11" t="n"/>
      <c r="C28" s="23">
        <f>IF(B28="","",B28&amp;"-AD-"&amp;TEXT(25,"000"))</f>
        <v/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22" customHeight="1">
      <c r="A29" s="13" t="n">
        <v>26</v>
      </c>
      <c r="B29" s="15" t="n"/>
      <c r="C29" s="24">
        <f>IF(B29="","",B29&amp;"-AD-"&amp;TEXT(26,"000"))</f>
        <v/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22" customHeight="1">
      <c r="A30" s="9" t="n">
        <v>27</v>
      </c>
      <c r="B30" s="11" t="n"/>
      <c r="C30" s="23">
        <f>IF(B30="","",B30&amp;"-AD-"&amp;TEXT(27,"000"))</f>
        <v/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22" customHeight="1">
      <c r="A31" s="13" t="n">
        <v>28</v>
      </c>
      <c r="B31" s="15" t="n"/>
      <c r="C31" s="24">
        <f>IF(B31="","",B31&amp;"-AD-"&amp;TEXT(28,"000"))</f>
        <v/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22" customHeight="1">
      <c r="A32" s="9" t="n">
        <v>29</v>
      </c>
      <c r="B32" s="11" t="n"/>
      <c r="C32" s="23">
        <f>IF(B32="","",B32&amp;"-AD-"&amp;TEXT(29,"000"))</f>
        <v/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22" customHeight="1">
      <c r="A33" s="13" t="n">
        <v>30</v>
      </c>
      <c r="B33" s="15" t="n"/>
      <c r="C33" s="24">
        <f>IF(B33="","",B33&amp;"-AD-"&amp;TEXT(30,"000"))</f>
        <v/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22" customHeight="1">
      <c r="A34" s="9" t="n">
        <v>31</v>
      </c>
      <c r="B34" s="11" t="n"/>
      <c r="C34" s="23">
        <f>IF(B34="","",B34&amp;"-AD-"&amp;TEXT(31,"000"))</f>
        <v/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22" customHeight="1">
      <c r="A35" s="13" t="n">
        <v>32</v>
      </c>
      <c r="B35" s="15" t="n"/>
      <c r="C35" s="24">
        <f>IF(B35="","",B35&amp;"-AD-"&amp;TEXT(32,"000"))</f>
        <v/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22" customHeight="1">
      <c r="A36" s="9" t="n">
        <v>33</v>
      </c>
      <c r="B36" s="11" t="n"/>
      <c r="C36" s="23">
        <f>IF(B36="","",B36&amp;"-AD-"&amp;TEXT(33,"000"))</f>
        <v/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22" customHeight="1">
      <c r="A37" s="13" t="n">
        <v>34</v>
      </c>
      <c r="B37" s="15" t="n"/>
      <c r="C37" s="24">
        <f>IF(B37="","",B37&amp;"-AD-"&amp;TEXT(34,"000"))</f>
        <v/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22" customHeight="1">
      <c r="A38" s="9" t="n">
        <v>35</v>
      </c>
      <c r="B38" s="11" t="n"/>
      <c r="C38" s="23">
        <f>IF(B38="","",B38&amp;"-AD-"&amp;TEXT(35,"000"))</f>
        <v/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22" customHeight="1">
      <c r="A39" s="13" t="n">
        <v>36</v>
      </c>
      <c r="B39" s="15" t="n"/>
      <c r="C39" s="24">
        <f>IF(B39="","",B39&amp;"-AD-"&amp;TEXT(36,"000"))</f>
        <v/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22" customHeight="1">
      <c r="A40" s="9" t="n">
        <v>37</v>
      </c>
      <c r="B40" s="11" t="n"/>
      <c r="C40" s="23">
        <f>IF(B40="","",B40&amp;"-AD-"&amp;TEXT(37,"000"))</f>
        <v/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22" customHeight="1">
      <c r="A41" s="13" t="n">
        <v>38</v>
      </c>
      <c r="B41" s="15" t="n"/>
      <c r="C41" s="24">
        <f>IF(B41="","",B41&amp;"-AD-"&amp;TEXT(38,"000"))</f>
        <v/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22" customHeight="1">
      <c r="A42" s="9" t="n">
        <v>39</v>
      </c>
      <c r="B42" s="11" t="n"/>
      <c r="C42" s="23">
        <f>IF(B42="","",B42&amp;"-AD-"&amp;TEXT(39,"000"))</f>
        <v/>
      </c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22" customHeight="1">
      <c r="A43" s="13" t="n">
        <v>40</v>
      </c>
      <c r="B43" s="15" t="n"/>
      <c r="C43" s="24">
        <f>IF(B43="","",B43&amp;"-AD-"&amp;TEXT(40,"000"))</f>
        <v/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22" customHeight="1">
      <c r="A44" s="9" t="n">
        <v>41</v>
      </c>
      <c r="B44" s="11" t="n"/>
      <c r="C44" s="23">
        <f>IF(B44="","",B44&amp;"-AD-"&amp;TEXT(41,"000"))</f>
        <v/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22" customHeight="1">
      <c r="A45" s="13" t="n">
        <v>42</v>
      </c>
      <c r="B45" s="15" t="n"/>
      <c r="C45" s="24">
        <f>IF(B45="","",B45&amp;"-AD-"&amp;TEXT(42,"000"))</f>
        <v/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22" customHeight="1">
      <c r="A46" s="9" t="n">
        <v>43</v>
      </c>
      <c r="B46" s="11" t="n"/>
      <c r="C46" s="23">
        <f>IF(B46="","",B46&amp;"-AD-"&amp;TEXT(43,"000"))</f>
        <v/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22" customHeight="1">
      <c r="A47" s="13" t="n">
        <v>44</v>
      </c>
      <c r="B47" s="15" t="n"/>
      <c r="C47" s="24">
        <f>IF(B47="","",B47&amp;"-AD-"&amp;TEXT(44,"000"))</f>
        <v/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22" customHeight="1">
      <c r="A48" s="9" t="n">
        <v>45</v>
      </c>
      <c r="B48" s="11" t="n"/>
      <c r="C48" s="23">
        <f>IF(B48="","",B48&amp;"-AD-"&amp;TEXT(45,"000"))</f>
        <v/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22" customHeight="1">
      <c r="A49" s="13" t="n">
        <v>46</v>
      </c>
      <c r="B49" s="15" t="n"/>
      <c r="C49" s="24">
        <f>IF(B49="","",B49&amp;"-AD-"&amp;TEXT(46,"000"))</f>
        <v/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22" customHeight="1">
      <c r="A50" s="9" t="n">
        <v>47</v>
      </c>
      <c r="B50" s="11" t="n"/>
      <c r="C50" s="23">
        <f>IF(B50="","",B50&amp;"-AD-"&amp;TEXT(47,"000"))</f>
        <v/>
      </c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22" customHeight="1">
      <c r="A51" s="13" t="n">
        <v>48</v>
      </c>
      <c r="B51" s="15" t="n"/>
      <c r="C51" s="24">
        <f>IF(B51="","",B51&amp;"-AD-"&amp;TEXT(48,"000"))</f>
        <v/>
      </c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22" customHeight="1">
      <c r="A52" s="9" t="n">
        <v>49</v>
      </c>
      <c r="B52" s="11" t="n"/>
      <c r="C52" s="23">
        <f>IF(B52="","",B52&amp;"-AD-"&amp;TEXT(49,"000"))</f>
        <v/>
      </c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22" customHeight="1">
      <c r="A53" s="13" t="n">
        <v>50</v>
      </c>
      <c r="B53" s="15" t="n"/>
      <c r="C53" s="24">
        <f>IF(B53="","",B53&amp;"-AD-"&amp;TEXT(50,"000"))</f>
        <v/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22" customHeight="1">
      <c r="A54" s="9" t="n">
        <v>51</v>
      </c>
      <c r="B54" s="11" t="n"/>
      <c r="C54" s="23">
        <f>IF(B54="","",B54&amp;"-AD-"&amp;TEXT(51,"000"))</f>
        <v/>
      </c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22" customHeight="1">
      <c r="A55" s="13" t="n">
        <v>52</v>
      </c>
      <c r="B55" s="15" t="n"/>
      <c r="C55" s="24">
        <f>IF(B55="","",B55&amp;"-AD-"&amp;TEXT(52,"000"))</f>
        <v/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22" customHeight="1">
      <c r="A56" s="9" t="n">
        <v>53</v>
      </c>
      <c r="B56" s="11" t="n"/>
      <c r="C56" s="23">
        <f>IF(B56="","",B56&amp;"-AD-"&amp;TEXT(53,"000"))</f>
        <v/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22" customHeight="1">
      <c r="A57" s="13" t="n">
        <v>54</v>
      </c>
      <c r="B57" s="15" t="n"/>
      <c r="C57" s="24">
        <f>IF(B57="","",B57&amp;"-AD-"&amp;TEXT(54,"000"))</f>
        <v/>
      </c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22" customHeight="1">
      <c r="A58" s="9" t="n">
        <v>55</v>
      </c>
      <c r="B58" s="11" t="n"/>
      <c r="C58" s="23">
        <f>IF(B58="","",B58&amp;"-AD-"&amp;TEXT(55,"000"))</f>
        <v/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22" customHeight="1">
      <c r="A59" s="13" t="n">
        <v>56</v>
      </c>
      <c r="B59" s="15" t="n"/>
      <c r="C59" s="24">
        <f>IF(B59="","",B59&amp;"-AD-"&amp;TEXT(56,"000"))</f>
        <v/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22" customHeight="1">
      <c r="A60" s="9" t="n">
        <v>57</v>
      </c>
      <c r="B60" s="11" t="n"/>
      <c r="C60" s="23">
        <f>IF(B60="","",B60&amp;"-AD-"&amp;TEXT(57,"000"))</f>
        <v/>
      </c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22" customHeight="1">
      <c r="A61" s="13" t="n">
        <v>58</v>
      </c>
      <c r="B61" s="15" t="n"/>
      <c r="C61" s="24">
        <f>IF(B61="","",B61&amp;"-AD-"&amp;TEXT(58,"000"))</f>
        <v/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22" customHeight="1">
      <c r="A62" s="9" t="n">
        <v>59</v>
      </c>
      <c r="B62" s="11" t="n"/>
      <c r="C62" s="23">
        <f>IF(B62="","",B62&amp;"-AD-"&amp;TEXT(59,"000"))</f>
        <v/>
      </c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22" customHeight="1">
      <c r="A63" s="13" t="n">
        <v>60</v>
      </c>
      <c r="B63" s="15" t="n"/>
      <c r="C63" s="24">
        <f>IF(B63="","",B63&amp;"-AD-"&amp;TEXT(60,"000"))</f>
        <v/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22" customHeight="1">
      <c r="A64" s="9" t="n">
        <v>61</v>
      </c>
      <c r="B64" s="11" t="n"/>
      <c r="C64" s="23">
        <f>IF(B64="","",B64&amp;"-AD-"&amp;TEXT(61,"000"))</f>
        <v/>
      </c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22" customHeight="1">
      <c r="A65" s="13" t="n">
        <v>62</v>
      </c>
      <c r="B65" s="15" t="n"/>
      <c r="C65" s="24">
        <f>IF(B65="","",B65&amp;"-AD-"&amp;TEXT(62,"000"))</f>
        <v/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22" customHeight="1">
      <c r="A66" s="9" t="n">
        <v>63</v>
      </c>
      <c r="B66" s="11" t="n"/>
      <c r="C66" s="23">
        <f>IF(B66="","",B66&amp;"-AD-"&amp;TEXT(63,"000"))</f>
        <v/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22" customHeight="1">
      <c r="A67" s="13" t="n">
        <v>64</v>
      </c>
      <c r="B67" s="15" t="n"/>
      <c r="C67" s="24">
        <f>IF(B67="","",B67&amp;"-AD-"&amp;TEXT(64,"000"))</f>
        <v/>
      </c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22" customHeight="1">
      <c r="A68" s="9" t="n">
        <v>65</v>
      </c>
      <c r="B68" s="11" t="n"/>
      <c r="C68" s="23">
        <f>IF(B68="","",B68&amp;"-AD-"&amp;TEXT(65,"000"))</f>
        <v/>
      </c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22" customHeight="1">
      <c r="A69" s="13" t="n">
        <v>66</v>
      </c>
      <c r="B69" s="15" t="n"/>
      <c r="C69" s="24">
        <f>IF(B69="","",B69&amp;"-AD-"&amp;TEXT(66,"000"))</f>
        <v/>
      </c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22" customHeight="1">
      <c r="A70" s="9" t="n">
        <v>67</v>
      </c>
      <c r="B70" s="11" t="n"/>
      <c r="C70" s="23">
        <f>IF(B70="","",B70&amp;"-AD-"&amp;TEXT(67,"000"))</f>
        <v/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22" customHeight="1">
      <c r="A71" s="13" t="n">
        <v>68</v>
      </c>
      <c r="B71" s="15" t="n"/>
      <c r="C71" s="24">
        <f>IF(B71="","",B71&amp;"-AD-"&amp;TEXT(68,"000"))</f>
        <v/>
      </c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22" customHeight="1">
      <c r="A72" s="9" t="n">
        <v>69</v>
      </c>
      <c r="B72" s="11" t="n"/>
      <c r="C72" s="23">
        <f>IF(B72="","",B72&amp;"-AD-"&amp;TEXT(69,"000"))</f>
        <v/>
      </c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22" customHeight="1">
      <c r="A73" s="13" t="n">
        <v>70</v>
      </c>
      <c r="B73" s="15" t="n"/>
      <c r="C73" s="24">
        <f>IF(B73="","",B73&amp;"-AD-"&amp;TEXT(70,"000"))</f>
        <v/>
      </c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22" customHeight="1">
      <c r="A74" s="9" t="n">
        <v>71</v>
      </c>
      <c r="B74" s="11" t="n"/>
      <c r="C74" s="23">
        <f>IF(B74="","",B74&amp;"-AD-"&amp;TEXT(71,"000"))</f>
        <v/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22" customHeight="1">
      <c r="A75" s="13" t="n">
        <v>72</v>
      </c>
      <c r="B75" s="15" t="n"/>
      <c r="C75" s="24">
        <f>IF(B75="","",B75&amp;"-AD-"&amp;TEXT(72,"000"))</f>
        <v/>
      </c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22" customHeight="1">
      <c r="A76" s="9" t="n">
        <v>73</v>
      </c>
      <c r="B76" s="11" t="n"/>
      <c r="C76" s="23">
        <f>IF(B76="","",B76&amp;"-AD-"&amp;TEXT(73,"000"))</f>
        <v/>
      </c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22" customHeight="1">
      <c r="A77" s="13" t="n">
        <v>74</v>
      </c>
      <c r="B77" s="15" t="n"/>
      <c r="C77" s="24">
        <f>IF(B77="","",B77&amp;"-AD-"&amp;TEXT(74,"000"))</f>
        <v/>
      </c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22" customHeight="1">
      <c r="A78" s="9" t="n">
        <v>75</v>
      </c>
      <c r="B78" s="11" t="n"/>
      <c r="C78" s="23">
        <f>IF(B78="","",B78&amp;"-AD-"&amp;TEXT(75,"000"))</f>
        <v/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22" customHeight="1">
      <c r="A79" s="13" t="n">
        <v>76</v>
      </c>
      <c r="B79" s="15" t="n"/>
      <c r="C79" s="24">
        <f>IF(B79="","",B79&amp;"-AD-"&amp;TEXT(76,"000"))</f>
        <v/>
      </c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22" customHeight="1">
      <c r="A80" s="9" t="n">
        <v>77</v>
      </c>
      <c r="B80" s="11" t="n"/>
      <c r="C80" s="23">
        <f>IF(B80="","",B80&amp;"-AD-"&amp;TEXT(77,"000"))</f>
        <v/>
      </c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22" customHeight="1">
      <c r="A81" s="13" t="n">
        <v>78</v>
      </c>
      <c r="B81" s="15" t="n"/>
      <c r="C81" s="24">
        <f>IF(B81="","",B81&amp;"-AD-"&amp;TEXT(78,"000"))</f>
        <v/>
      </c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22" customHeight="1">
      <c r="A82" s="9" t="n">
        <v>79</v>
      </c>
      <c r="B82" s="11" t="n"/>
      <c r="C82" s="23">
        <f>IF(B82="","",B82&amp;"-AD-"&amp;TEXT(79,"000"))</f>
        <v/>
      </c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22" customHeight="1">
      <c r="A83" s="13" t="n">
        <v>80</v>
      </c>
      <c r="B83" s="15" t="n"/>
      <c r="C83" s="24">
        <f>IF(B83="","",B83&amp;"-AD-"&amp;TEXT(80,"000"))</f>
        <v/>
      </c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22" customHeight="1">
      <c r="A84" s="9" t="n">
        <v>81</v>
      </c>
      <c r="B84" s="11" t="n"/>
      <c r="C84" s="23">
        <f>IF(B84="","",B84&amp;"-AD-"&amp;TEXT(81,"000"))</f>
        <v/>
      </c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22" customHeight="1">
      <c r="A85" s="13" t="n">
        <v>82</v>
      </c>
      <c r="B85" s="15" t="n"/>
      <c r="C85" s="24">
        <f>IF(B85="","",B85&amp;"-AD-"&amp;TEXT(82,"000"))</f>
        <v/>
      </c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22" customHeight="1">
      <c r="A86" s="9" t="n">
        <v>83</v>
      </c>
      <c r="B86" s="11" t="n"/>
      <c r="C86" s="23">
        <f>IF(B86="","",B86&amp;"-AD-"&amp;TEXT(83,"000"))</f>
        <v/>
      </c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22" customHeight="1">
      <c r="A87" s="13" t="n">
        <v>84</v>
      </c>
      <c r="B87" s="15" t="n"/>
      <c r="C87" s="24">
        <f>IF(B87="","",B87&amp;"-AD-"&amp;TEXT(84,"000"))</f>
        <v/>
      </c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22" customHeight="1">
      <c r="A88" s="9" t="n">
        <v>85</v>
      </c>
      <c r="B88" s="11" t="n"/>
      <c r="C88" s="23">
        <f>IF(B88="","",B88&amp;"-AD-"&amp;TEXT(85,"000"))</f>
        <v/>
      </c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22" customHeight="1">
      <c r="A89" s="13" t="n">
        <v>86</v>
      </c>
      <c r="B89" s="15" t="n"/>
      <c r="C89" s="24">
        <f>IF(B89="","",B89&amp;"-AD-"&amp;TEXT(86,"000"))</f>
        <v/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22" customHeight="1">
      <c r="A90" s="9" t="n">
        <v>87</v>
      </c>
      <c r="B90" s="11" t="n"/>
      <c r="C90" s="23">
        <f>IF(B90="","",B90&amp;"-AD-"&amp;TEXT(87,"000"))</f>
        <v/>
      </c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22" customHeight="1">
      <c r="A91" s="13" t="n">
        <v>88</v>
      </c>
      <c r="B91" s="15" t="n"/>
      <c r="C91" s="24">
        <f>IF(B91="","",B91&amp;"-AD-"&amp;TEXT(88,"000"))</f>
        <v/>
      </c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22" customHeight="1">
      <c r="A92" s="9" t="n">
        <v>89</v>
      </c>
      <c r="B92" s="11" t="n"/>
      <c r="C92" s="23">
        <f>IF(B92="","",B92&amp;"-AD-"&amp;TEXT(89,"000"))</f>
        <v/>
      </c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22" customHeight="1">
      <c r="A93" s="13" t="n">
        <v>90</v>
      </c>
      <c r="B93" s="15" t="n"/>
      <c r="C93" s="24">
        <f>IF(B93="","",B93&amp;"-AD-"&amp;TEXT(90,"000"))</f>
        <v/>
      </c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22" customHeight="1">
      <c r="A94" s="9" t="n">
        <v>91</v>
      </c>
      <c r="B94" s="11" t="n"/>
      <c r="C94" s="23">
        <f>IF(B94="","",B94&amp;"-AD-"&amp;TEXT(91,"000"))</f>
        <v/>
      </c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22" customHeight="1">
      <c r="A95" s="13" t="n">
        <v>92</v>
      </c>
      <c r="B95" s="15" t="n"/>
      <c r="C95" s="24">
        <f>IF(B95="","",B95&amp;"-AD-"&amp;TEXT(92,"000"))</f>
        <v/>
      </c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22" customHeight="1">
      <c r="A96" s="9" t="n">
        <v>93</v>
      </c>
      <c r="B96" s="11" t="n"/>
      <c r="C96" s="23">
        <f>IF(B96="","",B96&amp;"-AD-"&amp;TEXT(93,"000"))</f>
        <v/>
      </c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22" customHeight="1">
      <c r="A97" s="13" t="n">
        <v>94</v>
      </c>
      <c r="B97" s="15" t="n"/>
      <c r="C97" s="24">
        <f>IF(B97="","",B97&amp;"-AD-"&amp;TEXT(94,"000"))</f>
        <v/>
      </c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22" customHeight="1">
      <c r="A98" s="9" t="n">
        <v>95</v>
      </c>
      <c r="B98" s="11" t="n"/>
      <c r="C98" s="23">
        <f>IF(B98="","",B98&amp;"-AD-"&amp;TEXT(95,"000"))</f>
        <v/>
      </c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22" customHeight="1">
      <c r="A99" s="13" t="n">
        <v>96</v>
      </c>
      <c r="B99" s="15" t="n"/>
      <c r="C99" s="24">
        <f>IF(B99="","",B99&amp;"-AD-"&amp;TEXT(96,"000"))</f>
        <v/>
      </c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22" customHeight="1">
      <c r="A100" s="9" t="n">
        <v>97</v>
      </c>
      <c r="B100" s="11" t="n"/>
      <c r="C100" s="23">
        <f>IF(B100="","",B100&amp;"-AD-"&amp;TEXT(97,"000"))</f>
        <v/>
      </c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22" customHeight="1">
      <c r="A101" s="13" t="n">
        <v>98</v>
      </c>
      <c r="B101" s="15" t="n"/>
      <c r="C101" s="24">
        <f>IF(B101="","",B101&amp;"-AD-"&amp;TEXT(98,"000"))</f>
        <v/>
      </c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22" customHeight="1">
      <c r="A102" s="9" t="n">
        <v>99</v>
      </c>
      <c r="B102" s="11" t="n"/>
      <c r="C102" s="23">
        <f>IF(B102="","",B102&amp;"-AD-"&amp;TEXT(99,"000"))</f>
        <v/>
      </c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22" customHeight="1">
      <c r="A103" s="13" t="n">
        <v>100</v>
      </c>
      <c r="B103" s="15" t="n"/>
      <c r="C103" s="24">
        <f>IF(B103="","",B103&amp;"-AD-"&amp;TEXT(100,"000"))</f>
        <v/>
      </c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</sheetData>
  <mergeCells count="2">
    <mergeCell ref="A1:Z1"/>
    <mergeCell ref="A2:Z2"/>
  </mergeCells>
  <conditionalFormatting sqref="W4:W103">
    <cfRule type="containsText" priority="1" operator="containsText" dxfId="0" text="Active">
      <formula>NOT(ISERROR(SEARCH("Active",W4)))</formula>
    </cfRule>
    <cfRule type="containsText" priority="2" operator="containsText" dxfId="0" text="Completed">
      <formula>NOT(ISERROR(SEARCH("Completed",W4)))</formula>
    </cfRule>
    <cfRule type="containsText" priority="3" operator="containsText" dxfId="0" text="Approved">
      <formula>NOT(ISERROR(SEARCH("Approved",W4)))</formula>
    </cfRule>
    <cfRule type="containsText" priority="4" operator="containsText" dxfId="0" text="Published">
      <formula>NOT(ISERROR(SEARCH("Published",W4)))</formula>
    </cfRule>
    <cfRule type="containsText" priority="5" operator="containsText" dxfId="0" text="Live">
      <formula>NOT(ISERROR(SEARCH("Live",W4)))</formula>
    </cfRule>
    <cfRule type="containsText" priority="6" operator="containsText" dxfId="1" text="Cancelled">
      <formula>NOT(ISERROR(SEARCH("Cancelled",W4)))</formula>
    </cfRule>
    <cfRule type="containsText" priority="7" operator="containsText" dxfId="1" text="Rejected">
      <formula>NOT(ISERROR(SEARCH("Rejected",W4)))</formula>
    </cfRule>
    <cfRule type="containsText" priority="8" operator="containsText" dxfId="2" text="On Hold">
      <formula>NOT(ISERROR(SEARCH("On Hold",W4)))</formula>
    </cfRule>
    <cfRule type="containsText" priority="9" operator="containsText" dxfId="2" text="Paused">
      <formula>NOT(ISERROR(SEARCH("Paused",W4)))</formula>
    </cfRule>
    <cfRule type="containsText" priority="10" operator="containsText" dxfId="2" text="Revision">
      <formula>NOT(ISERROR(SEARCH("Revision",W4)))</formula>
    </cfRule>
    <cfRule type="containsText" priority="11" operator="containsText" dxfId="2" text="Changes">
      <formula>NOT(ISERROR(SEARCH("Changes",W4)))</formula>
    </cfRule>
    <cfRule type="containsText" priority="12" operator="containsText" dxfId="3" text="Planning">
      <formula>NOT(ISERROR(SEARCH("Planning",W4)))</formula>
    </cfRule>
    <cfRule type="containsText" priority="13" operator="containsText" dxfId="3" text="Briefed">
      <formula>NOT(ISERROR(SEARCH("Briefed",W4)))</formula>
    </cfRule>
    <cfRule type="containsText" priority="14" operator="containsText" dxfId="4" text="Progress">
      <formula>NOT(ISERROR(SEARCH("Progress",W4)))</formula>
    </cfRule>
  </conditionalFormatting>
  <conditionalFormatting sqref="X4:X103">
    <cfRule type="containsText" priority="15" operator="containsText" dxfId="0" text="Approved">
      <formula>NOT(ISERROR(SEARCH("Approved",X4)))</formula>
    </cfRule>
    <cfRule type="containsText" priority="16" operator="containsText" dxfId="1" text="Rejected">
      <formula>NOT(ISERROR(SEARCH("Rejected",X4)))</formula>
    </cfRule>
    <cfRule type="containsText" priority="17" operator="containsText" dxfId="2" text="Changes">
      <formula>NOT(ISERROR(SEARCH("Changes",X4)))</formula>
    </cfRule>
    <cfRule type="containsText" priority="18" operator="containsText" dxfId="3" text="Pending">
      <formula>NOT(ISERROR(SEARCH("Pending",X4)))</formula>
    </cfRule>
  </conditionalFormatting>
  <conditionalFormatting sqref="Y4:Y103">
    <cfRule type="containsText" priority="19" operator="containsText" dxfId="0" text="Approved">
      <formula>NOT(ISERROR(SEARCH("Approved",Y4)))</formula>
    </cfRule>
    <cfRule type="containsText" priority="20" operator="containsText" dxfId="1" text="Rejected">
      <formula>NOT(ISERROR(SEARCH("Rejected",Y4)))</formula>
    </cfRule>
    <cfRule type="containsText" priority="21" operator="containsText" dxfId="2" text="Changes">
      <formula>NOT(ISERROR(SEARCH("Changes",Y4)))</formula>
    </cfRule>
    <cfRule type="containsText" priority="22" operator="containsText" dxfId="3" text="Pending">
      <formula>NOT(ISERROR(SEARCH("Pending",Y4)))</formula>
    </cfRule>
  </conditionalFormatting>
  <dataValidations count="11">
    <dataValidation sqref="D4:D103" showDropDown="0" showInputMessage="1" showErrorMessage="1" allowBlank="1" errorTitle="Invalid" error="Select from the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F4:F103" showDropDown="0" showInputMessage="1" showErrorMessage="1" allowBlank="1" errorTitle="Invalid" error="Select from the dropdown." promptTitle="Platform" prompt="Ad platform." type="list">
      <formula1>"LinkedIn Ads,Google Search,Google Display,Meta Ads,Twitter/X Ads,YouTube Ads,Programmatic,Other"</formula1>
    </dataValidation>
    <dataValidation sqref="G4:G103" showDropDown="0" showInputMessage="1" showErrorMessage="1" allowBlank="1" errorTitle="Invalid" error="Select from the dropdown." promptTitle="Format" prompt="Ad format." type="list">
      <formula1>"Single Image,Carousel,Video Ad,Lead Gen Form,Sponsored Content,Text Ad,Responsive Display,Other"</formula1>
    </dataValidation>
    <dataValidation sqref="H4:H103" showDropDown="0" showInputMessage="1" showErrorMessage="1" allowBlank="1" errorTitle="Invalid" error="Select from the dropdown." promptTitle="Objective" prompt="Campaign objective." type="list">
      <formula1>"Brand Awareness,Lead Generation,Traffic,Engagement,Conversions,Retargeting,Other"</formula1>
    </dataValidation>
    <dataValidation sqref="V4:V103" showDropDown="0" showInputMessage="1" showErrorMessage="1" allowBlank="1" errorTitle="Invalid" error="Select from the dropdown." promptTitle="Priority" prompt="Urgency." type="list">
      <formula1>"🔴 Critical,🟠 High,🟡 Medium,🟢 Low"</formula1>
    </dataValidation>
    <dataValidation sqref="W4:W103" showDropDown="0" showInputMessage="1" showErrorMessage="1" allowBlank="1" errorTitle="Invalid" error="Select from the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X4:X103" showDropDown="0" showInputMessage="1" showErrorMessage="1" allowBlank="1" errorTitle="Invalid" error="Select from the dropdown." promptTitle="PH Approval" prompt="Project Head approval." type="list">
      <formula1>"⏳ Pending,✅ Approved,🔁 Changes Requested,❌ Rejected"</formula1>
    </dataValidation>
    <dataValidation sqref="Y4:Y103" showDropDown="0" showInputMessage="1" showErrorMessage="1" allowBlank="1" errorTitle="Invalid" error="Select from the dropdown." promptTitle="Mgr Approval" prompt="Manager approval." type="list">
      <formula1>"⏳ Pending,✅ Approved,🔁 Changes Requested,❌ Rejected"</formula1>
    </dataValidation>
    <dataValidation sqref="Q4:Q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R4:R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U4:U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</cols>
  <sheetData>
    <row r="1" ht="36" customHeight="1">
      <c r="A1" s="7" t="inlineStr">
        <is>
          <t>SolidPro — Campaign + Creatives Dashboard  (File 1 of 2)</t>
        </is>
      </c>
    </row>
    <row r="2" ht="16" customHeight="1">
      <c r="A2" s="2" t="inlineStr">
        <is>
          <t>Auto-calculated  |  Press Ctrl+Alt+F9 to force refresh all formulas</t>
        </is>
      </c>
    </row>
    <row r="4">
      <c r="A4" s="25" t="inlineStr">
        <is>
          <t>Campaigns by Status</t>
        </is>
      </c>
      <c r="B4" s="26" t="n"/>
      <c r="C4" s="27" t="n"/>
      <c r="D4" s="28" t="inlineStr">
        <is>
          <t>Count</t>
        </is>
      </c>
    </row>
    <row r="5">
      <c r="A5" s="29" t="inlineStr">
        <is>
          <t>🗓 Planning</t>
        </is>
      </c>
      <c r="B5" s="26" t="n"/>
      <c r="C5" s="27" t="n"/>
      <c r="D5" s="30">
        <f>COUNTIF('🗂 Campaign Master'!O4:O103,"*Planning*")</f>
        <v/>
      </c>
    </row>
    <row r="6">
      <c r="A6" s="31" t="inlineStr">
        <is>
          <t>🚀 Active</t>
        </is>
      </c>
      <c r="B6" s="26" t="n"/>
      <c r="C6" s="27" t="n"/>
      <c r="D6" s="32">
        <f>COUNTIF('🗂 Campaign Master'!O4:O103,"*Active*")</f>
        <v/>
      </c>
    </row>
    <row r="7">
      <c r="A7" s="29" t="inlineStr">
        <is>
          <t>✅ Completed</t>
        </is>
      </c>
      <c r="B7" s="26" t="n"/>
      <c r="C7" s="27" t="n"/>
      <c r="D7" s="30">
        <f>COUNTIF('🗂 Campaign Master'!O4:O103,"*Completed*")</f>
        <v/>
      </c>
    </row>
    <row r="8">
      <c r="A8" s="31" t="inlineStr">
        <is>
          <t>⏸ Paused</t>
        </is>
      </c>
      <c r="B8" s="26" t="n"/>
      <c r="C8" s="27" t="n"/>
      <c r="D8" s="32">
        <f>COUNTIF('🗂 Campaign Master'!O4:O103,"*Paused*")</f>
        <v/>
      </c>
    </row>
    <row r="9">
      <c r="A9" s="29" t="inlineStr">
        <is>
          <t>❌ Cancelled</t>
        </is>
      </c>
      <c r="B9" s="26" t="n"/>
      <c r="C9" s="27" t="n"/>
      <c r="D9" s="30">
        <f>COUNTIF('🗂 Campaign Master'!O4:O103,"*Cancelled*")</f>
        <v/>
      </c>
    </row>
    <row r="12">
      <c r="A12" s="25" t="inlineStr">
        <is>
          <t>Creatives by Status</t>
        </is>
      </c>
      <c r="B12" s="26" t="n"/>
      <c r="C12" s="27" t="n"/>
      <c r="D12" s="28" t="inlineStr">
        <is>
          <t>Count</t>
        </is>
      </c>
    </row>
    <row r="13">
      <c r="A13" s="29" t="inlineStr">
        <is>
          <t>📋 Briefed</t>
        </is>
      </c>
      <c r="B13" s="26" t="n"/>
      <c r="C13" s="27" t="n"/>
      <c r="D13" s="30">
        <f>COUNTIF('🎨 Creatives'!R4:R103,"*Briefed*")</f>
        <v/>
      </c>
    </row>
    <row r="14">
      <c r="A14" s="31" t="inlineStr">
        <is>
          <t>✍ In Progress</t>
        </is>
      </c>
      <c r="B14" s="26" t="n"/>
      <c r="C14" s="27" t="n"/>
      <c r="D14" s="32">
        <f>COUNTIF('🎨 Creatives'!R4:R103,"*Progress*")</f>
        <v/>
      </c>
    </row>
    <row r="15">
      <c r="A15" s="29" t="inlineStr">
        <is>
          <t>🔁 In Revision</t>
        </is>
      </c>
      <c r="B15" s="26" t="n"/>
      <c r="C15" s="27" t="n"/>
      <c r="D15" s="30">
        <f>COUNTIF('🎨 Creatives'!R4:R103,"*Revision*")</f>
        <v/>
      </c>
    </row>
    <row r="16">
      <c r="A16" s="31" t="inlineStr">
        <is>
          <t>✅ Approved – PH</t>
        </is>
      </c>
      <c r="B16" s="26" t="n"/>
      <c r="C16" s="27" t="n"/>
      <c r="D16" s="32">
        <f>COUNTIF('🎨 Creatives'!R4:R103,"*Approved by Project Head*")</f>
        <v/>
      </c>
    </row>
    <row r="17">
      <c r="A17" s="29" t="inlineStr">
        <is>
          <t>✅ Approved – Manager</t>
        </is>
      </c>
      <c r="B17" s="26" t="n"/>
      <c r="C17" s="27" t="n"/>
      <c r="D17" s="30">
        <f>COUNTIF('🎨 Creatives'!R4:R103,"*Approved by Manager*")</f>
        <v/>
      </c>
    </row>
    <row r="18">
      <c r="A18" s="31" t="inlineStr">
        <is>
          <t>🚀 Published</t>
        </is>
      </c>
      <c r="B18" s="26" t="n"/>
      <c r="C18" s="27" t="n"/>
      <c r="D18" s="32">
        <f>COUNTIF('🎨 Creatives'!R4:R103,"*Published*")</f>
        <v/>
      </c>
    </row>
    <row r="19">
      <c r="A19" s="29" t="inlineStr">
        <is>
          <t>⏸ On Hold</t>
        </is>
      </c>
      <c r="B19" s="26" t="n"/>
      <c r="C19" s="27" t="n"/>
      <c r="D19" s="30">
        <f>COUNTIF('🎨 Creatives'!R4:R103,"*On Hold*")</f>
        <v/>
      </c>
    </row>
    <row r="20">
      <c r="A20" s="31" t="inlineStr">
        <is>
          <t>❌ Cancelled</t>
        </is>
      </c>
      <c r="B20" s="26" t="n"/>
      <c r="C20" s="27" t="n"/>
      <c r="D20" s="32">
        <f>COUNTIF('🎨 Creatives'!R4:R103,"*Cancelled*")</f>
        <v/>
      </c>
    </row>
    <row r="23">
      <c r="A23" s="25" t="inlineStr">
        <is>
          <t>Campaigns by Vertical</t>
        </is>
      </c>
      <c r="B23" s="26" t="n"/>
      <c r="C23" s="27" t="n"/>
      <c r="D23" s="28" t="inlineStr">
        <is>
          <t>Count</t>
        </is>
      </c>
    </row>
    <row r="24">
      <c r="A24" s="31" t="inlineStr">
        <is>
          <t>Digital Transformation</t>
        </is>
      </c>
      <c r="B24" s="26" t="n"/>
      <c r="C24" s="27" t="n"/>
      <c r="D24" s="32">
        <f>COUNTIF('🗂 Campaign Master'!D4:D103,"*Digital Transformation*")</f>
        <v/>
      </c>
    </row>
    <row r="25">
      <c r="A25" s="29" t="inlineStr">
        <is>
          <t>Industrial Goods &amp; Consumer Products</t>
        </is>
      </c>
      <c r="B25" s="26" t="n"/>
      <c r="C25" s="27" t="n"/>
      <c r="D25" s="30">
        <f>COUNTIF('🗂 Campaign Master'!D4:D103,"*Industrial Goods &amp; Consumer Products*")</f>
        <v/>
      </c>
    </row>
    <row r="26">
      <c r="A26" s="31" t="inlineStr">
        <is>
          <t>Structural Engineering</t>
        </is>
      </c>
      <c r="B26" s="26" t="n"/>
      <c r="C26" s="27" t="n"/>
      <c r="D26" s="32">
        <f>COUNTIF('🗂 Campaign Master'!D4:D103,"*Structural Engineering*")</f>
        <v/>
      </c>
    </row>
    <row r="27">
      <c r="A27" s="29" t="inlineStr">
        <is>
          <t>MedTech</t>
        </is>
      </c>
      <c r="B27" s="26" t="n"/>
      <c r="C27" s="27" t="n"/>
      <c r="D27" s="30">
        <f>COUNTIF('🗂 Campaign Master'!D4:D103,"*MedTech*")</f>
        <v/>
      </c>
    </row>
    <row r="28">
      <c r="A28" s="31" t="inlineStr">
        <is>
          <t>Energy &amp; Utilities</t>
        </is>
      </c>
      <c r="B28" s="26" t="n"/>
      <c r="C28" s="27" t="n"/>
      <c r="D28" s="32">
        <f>COUNTIF('🗂 Campaign Master'!D4:D103,"*Energy &amp; Utilities*")</f>
        <v/>
      </c>
    </row>
    <row r="29">
      <c r="A29" s="29" t="inlineStr">
        <is>
          <t>Sustainability</t>
        </is>
      </c>
      <c r="B29" s="26" t="n"/>
      <c r="C29" s="27" t="n"/>
      <c r="D29" s="30">
        <f>COUNTIF('🗂 Campaign Master'!D4:D103,"*Sustainability*")</f>
        <v/>
      </c>
    </row>
    <row r="30">
      <c r="A30" s="31" t="inlineStr">
        <is>
          <t>BFSI</t>
        </is>
      </c>
      <c r="B30" s="26" t="n"/>
      <c r="C30" s="27" t="n"/>
      <c r="D30" s="32">
        <f>COUNTIF('🗂 Campaign Master'!D4:D103,"*BFSI*")</f>
        <v/>
      </c>
    </row>
    <row r="31">
      <c r="A31" s="29" t="inlineStr">
        <is>
          <t>Product Innovation</t>
        </is>
      </c>
      <c r="B31" s="26" t="n"/>
      <c r="C31" s="27" t="n"/>
      <c r="D31" s="30">
        <f>COUNTIF('🗂 Campaign Master'!D4:D103,"*Product Innovation*")</f>
        <v/>
      </c>
    </row>
    <row r="32">
      <c r="A32" s="31" t="inlineStr">
        <is>
          <t>SolidPro AI</t>
        </is>
      </c>
      <c r="B32" s="26" t="n"/>
      <c r="C32" s="27" t="n"/>
      <c r="D32" s="32">
        <f>COUNTIF('🗂 Campaign Master'!D4:D103,"*SolidPro AI*")</f>
        <v/>
      </c>
    </row>
    <row r="33">
      <c r="A33" s="29" t="inlineStr">
        <is>
          <t>Other</t>
        </is>
      </c>
      <c r="B33" s="26" t="n"/>
      <c r="C33" s="27" t="n"/>
      <c r="D33" s="30">
        <f>COUNTIF('🗂 Campaign Master'!D4:D103,"*Other*")</f>
        <v/>
      </c>
    </row>
  </sheetData>
  <mergeCells count="28">
    <mergeCell ref="A25:C25"/>
    <mergeCell ref="A18:C18"/>
    <mergeCell ref="A27:C27"/>
    <mergeCell ref="A1:H1"/>
    <mergeCell ref="A12:C12"/>
    <mergeCell ref="A26:C26"/>
    <mergeCell ref="A33:C33"/>
    <mergeCell ref="A5:C5"/>
    <mergeCell ref="A23:C23"/>
    <mergeCell ref="A32:C32"/>
    <mergeCell ref="A8:C8"/>
    <mergeCell ref="A14:C14"/>
    <mergeCell ref="A17:C17"/>
    <mergeCell ref="A29:C29"/>
    <mergeCell ref="A4:C4"/>
    <mergeCell ref="A20:C20"/>
    <mergeCell ref="A28:C28"/>
    <mergeCell ref="A13:C13"/>
    <mergeCell ref="A19:C19"/>
    <mergeCell ref="A2:H2"/>
    <mergeCell ref="A31:C31"/>
    <mergeCell ref="A9:C9"/>
    <mergeCell ref="A30:C30"/>
    <mergeCell ref="A15:C15"/>
    <mergeCell ref="A24:C24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2026-04-20T15:54:58Z</dcterms:created>
  <dcterms:modified xmlns:dcterms="http://purl.org/dc/terms/" xmlns:xsi="http://www.w3.org/2001/XMLSchema-instance" xsi:type="dcterms:W3CDTF">2026-04-20T15:54:59Z</dcterms:modified>
</cp:coreProperties>
</file>